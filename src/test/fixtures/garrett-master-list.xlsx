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Abalos\Downloads\"/>
    </mc:Choice>
  </mc:AlternateContent>
  <xr:revisionPtr revIDLastSave="0" documentId="13_ncr:1_{92456CCC-BB30-42D1-8DB0-888A2D4C09C3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Material Delivery and Inventory" sheetId="27" r:id="rId1"/>
    <sheet name="Master List" sheetId="24" r:id="rId2"/>
    <sheet name="AML" sheetId="28" state="hidden" r:id="rId3"/>
    <sheet name="Sheet1" sheetId="26" state="hidden" r:id="rId4"/>
  </sheets>
  <definedNames>
    <definedName name="_xlnm._FilterDatabase" localSheetId="1" hidden="1">'Master List'!$B$5:$AX$998</definedName>
    <definedName name="Active">AML!#REF!</definedName>
    <definedName name="Manufacturer">AML!$B$2:$B$309</definedName>
    <definedName name="MT">'Master List'!$C$6:$C$165</definedName>
    <definedName name="Product">AML!$A$2:$A$309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Q6" i="24" l="1"/>
  <c r="AS7" i="24"/>
  <c r="AS8" i="24"/>
  <c r="AS9" i="24"/>
  <c r="AS10" i="24"/>
  <c r="AS11" i="24"/>
  <c r="AS12" i="24"/>
  <c r="AS13" i="24"/>
  <c r="AS14" i="24"/>
  <c r="AS15" i="24"/>
  <c r="AS16" i="24"/>
  <c r="AS17" i="24"/>
  <c r="AS18" i="24"/>
  <c r="AS19" i="24"/>
  <c r="AS20" i="24"/>
  <c r="AS21" i="24"/>
  <c r="AS22" i="24"/>
  <c r="AS23" i="24"/>
  <c r="AS24" i="24"/>
  <c r="AS25" i="24"/>
  <c r="AS26" i="24"/>
  <c r="AS27" i="24"/>
  <c r="AS28" i="24"/>
  <c r="AS29" i="24"/>
  <c r="AS30" i="24"/>
  <c r="AS31" i="24"/>
  <c r="AS32" i="24"/>
  <c r="AS33" i="24"/>
  <c r="AS34" i="24"/>
  <c r="AS35" i="24"/>
  <c r="AS36" i="24"/>
  <c r="AS37" i="24"/>
  <c r="AS38" i="24"/>
  <c r="AS39" i="24"/>
  <c r="AS40" i="24"/>
  <c r="AS41" i="24"/>
  <c r="AS42" i="24"/>
  <c r="AS43" i="24"/>
  <c r="AS44" i="24"/>
  <c r="AS45" i="24"/>
  <c r="AS46" i="24"/>
  <c r="AS47" i="24"/>
  <c r="AS48" i="24"/>
  <c r="AS49" i="24"/>
  <c r="AS50" i="24"/>
  <c r="AS51" i="24"/>
  <c r="AS52" i="24"/>
  <c r="AS53" i="24"/>
  <c r="AS54" i="24"/>
  <c r="AS55" i="24"/>
  <c r="AS56" i="24"/>
  <c r="AS57" i="24"/>
  <c r="AS58" i="24"/>
  <c r="AS59" i="24"/>
  <c r="AS60" i="24"/>
  <c r="AS61" i="24"/>
  <c r="AS62" i="24"/>
  <c r="AS63" i="24"/>
  <c r="AS64" i="24"/>
  <c r="AS65" i="24"/>
  <c r="AS66" i="24"/>
  <c r="AS67" i="24"/>
  <c r="AS68" i="24"/>
  <c r="AS69" i="24"/>
  <c r="AS70" i="24"/>
  <c r="AS71" i="24"/>
  <c r="AS72" i="24"/>
  <c r="AS73" i="24"/>
  <c r="AS74" i="24"/>
  <c r="AS75" i="24"/>
  <c r="AS76" i="24"/>
  <c r="AS77" i="24"/>
  <c r="AS78" i="24"/>
  <c r="AS79" i="24"/>
  <c r="AS80" i="24"/>
  <c r="AS81" i="24"/>
  <c r="AS82" i="24"/>
  <c r="AS83" i="24"/>
  <c r="AS84" i="24"/>
  <c r="AS85" i="24"/>
  <c r="AS86" i="24"/>
  <c r="AS87" i="24"/>
  <c r="AS88" i="24"/>
  <c r="AS89" i="24"/>
  <c r="AS90" i="24"/>
  <c r="AS91" i="24"/>
  <c r="AS92" i="24"/>
  <c r="AS93" i="24"/>
  <c r="AS94" i="24"/>
  <c r="AS95" i="24"/>
  <c r="AS96" i="24"/>
  <c r="AS97" i="24"/>
  <c r="AS98" i="24"/>
  <c r="AS99" i="24"/>
  <c r="AS100" i="24"/>
  <c r="AS101" i="24"/>
  <c r="AS102" i="24"/>
  <c r="AS103" i="24"/>
  <c r="AS104" i="24"/>
  <c r="AS105" i="24"/>
  <c r="AS106" i="24"/>
  <c r="AS107" i="24"/>
  <c r="AS108" i="24"/>
  <c r="AS109" i="24"/>
  <c r="AS110" i="24"/>
  <c r="AS111" i="24"/>
  <c r="AS112" i="24"/>
  <c r="AS113" i="24"/>
  <c r="AS114" i="24"/>
  <c r="AS115" i="24"/>
  <c r="AS116" i="24"/>
  <c r="AS117" i="24"/>
  <c r="AS118" i="24"/>
  <c r="AS119" i="24"/>
  <c r="AS120" i="24"/>
  <c r="AS121" i="24"/>
  <c r="AS122" i="24"/>
  <c r="AS123" i="24"/>
  <c r="AS124" i="24"/>
  <c r="AS125" i="24"/>
  <c r="AS126" i="24"/>
  <c r="AS127" i="24"/>
  <c r="AS128" i="24"/>
  <c r="AS129" i="24"/>
  <c r="AS130" i="24"/>
  <c r="AS131" i="24"/>
  <c r="AS132" i="24"/>
  <c r="AS133" i="24"/>
  <c r="AS134" i="24"/>
  <c r="AS135" i="24"/>
  <c r="AS136" i="24"/>
  <c r="AS137" i="24"/>
  <c r="AS138" i="24"/>
  <c r="AS139" i="24"/>
  <c r="AS140" i="24"/>
  <c r="AS141" i="24"/>
  <c r="AS142" i="24"/>
  <c r="AS143" i="24"/>
  <c r="AS144" i="24"/>
  <c r="AS145" i="24"/>
  <c r="AS146" i="24"/>
  <c r="AS147" i="24"/>
  <c r="AS148" i="24"/>
  <c r="AS149" i="24"/>
  <c r="AS150" i="24"/>
  <c r="AS151" i="24"/>
  <c r="AS152" i="24"/>
  <c r="AS153" i="24"/>
  <c r="AS154" i="24"/>
  <c r="AS155" i="24"/>
  <c r="AS156" i="24"/>
  <c r="AS157" i="24"/>
  <c r="AS158" i="24"/>
  <c r="AS159" i="24"/>
  <c r="AS160" i="24"/>
  <c r="AS161" i="24"/>
  <c r="AS162" i="24"/>
  <c r="AS163" i="24"/>
  <c r="AS164" i="24"/>
  <c r="AS165" i="24"/>
  <c r="AS166" i="24"/>
  <c r="AS167" i="24"/>
  <c r="AS168" i="24"/>
  <c r="AS169" i="24"/>
  <c r="AS170" i="24"/>
  <c r="AS171" i="24"/>
  <c r="AS172" i="24"/>
  <c r="AS173" i="24"/>
  <c r="AS174" i="24"/>
  <c r="AS175" i="24"/>
  <c r="AS176" i="24"/>
  <c r="AS177" i="24"/>
  <c r="AS178" i="24"/>
  <c r="AS179" i="24"/>
  <c r="AS180" i="24"/>
  <c r="AS181" i="24"/>
  <c r="AS182" i="24"/>
  <c r="AS183" i="24"/>
  <c r="AS184" i="24"/>
  <c r="AS185" i="24"/>
  <c r="AS186" i="24"/>
  <c r="AS187" i="24"/>
  <c r="AS188" i="24"/>
  <c r="AS189" i="24"/>
  <c r="AS190" i="24"/>
  <c r="AS191" i="24"/>
  <c r="AS192" i="24"/>
  <c r="AS193" i="24"/>
  <c r="AS194" i="24"/>
  <c r="AS195" i="24"/>
  <c r="AS196" i="24"/>
  <c r="AS197" i="24"/>
  <c r="AS198" i="24"/>
  <c r="AS199" i="24"/>
  <c r="AS200" i="24"/>
  <c r="AS201" i="24"/>
  <c r="AS202" i="24"/>
  <c r="AS203" i="24"/>
  <c r="AS204" i="24"/>
  <c r="AS205" i="24"/>
  <c r="AS206" i="24"/>
  <c r="AS207" i="24"/>
  <c r="AS208" i="24"/>
  <c r="AS209" i="24"/>
  <c r="AS210" i="24"/>
  <c r="AS211" i="24"/>
  <c r="AS212" i="24"/>
  <c r="AS213" i="24"/>
  <c r="AS214" i="24"/>
  <c r="AS215" i="24"/>
  <c r="AS216" i="24"/>
  <c r="AS217" i="24"/>
  <c r="AS218" i="24"/>
  <c r="AS219" i="24"/>
  <c r="AS220" i="24"/>
  <c r="AS221" i="24"/>
  <c r="AS222" i="24"/>
  <c r="AS223" i="24"/>
  <c r="AS224" i="24"/>
  <c r="AS225" i="24"/>
  <c r="AS226" i="24"/>
  <c r="AS227" i="24"/>
  <c r="AS228" i="24"/>
  <c r="AS229" i="24"/>
  <c r="AS230" i="24"/>
  <c r="AS231" i="24"/>
  <c r="AS232" i="24"/>
  <c r="AS233" i="24"/>
  <c r="AS234" i="24"/>
  <c r="AS235" i="24"/>
  <c r="AS236" i="24"/>
  <c r="AS237" i="24"/>
  <c r="AS238" i="24"/>
  <c r="AS239" i="24"/>
  <c r="AS240" i="24"/>
  <c r="AS241" i="24"/>
  <c r="AS242" i="24"/>
  <c r="AS243" i="24"/>
  <c r="AS244" i="24"/>
  <c r="AS245" i="24"/>
  <c r="AS246" i="24"/>
  <c r="AS247" i="24"/>
  <c r="AS248" i="24"/>
  <c r="AS249" i="24"/>
  <c r="AS250" i="24"/>
  <c r="AS251" i="24"/>
  <c r="AS252" i="24"/>
  <c r="AS253" i="24"/>
  <c r="AS254" i="24"/>
  <c r="AS255" i="24"/>
  <c r="AS256" i="24"/>
  <c r="AS257" i="24"/>
  <c r="AS258" i="24"/>
  <c r="AS259" i="24"/>
  <c r="AS260" i="24"/>
  <c r="AS261" i="24"/>
  <c r="AS262" i="24"/>
  <c r="AS263" i="24"/>
  <c r="AS264" i="24"/>
  <c r="AS265" i="24"/>
  <c r="AS266" i="24"/>
  <c r="AS267" i="24"/>
  <c r="AS268" i="24"/>
  <c r="AS269" i="24"/>
  <c r="AS270" i="24"/>
  <c r="AS271" i="24"/>
  <c r="AS272" i="24"/>
  <c r="AS273" i="24"/>
  <c r="AS274" i="24"/>
  <c r="AS275" i="24"/>
  <c r="AS276" i="24"/>
  <c r="AS277" i="24"/>
  <c r="AS278" i="24"/>
  <c r="AS279" i="24"/>
  <c r="AS280" i="24"/>
  <c r="AS281" i="24"/>
  <c r="AS282" i="24"/>
  <c r="AS283" i="24"/>
  <c r="AS284" i="24"/>
  <c r="AS285" i="24"/>
  <c r="AS286" i="24"/>
  <c r="AS287" i="24"/>
  <c r="AS288" i="24"/>
  <c r="AS289" i="24"/>
  <c r="AS290" i="24"/>
  <c r="AS291" i="24"/>
  <c r="AS292" i="24"/>
  <c r="AS293" i="24"/>
  <c r="AS294" i="24"/>
  <c r="AS295" i="24"/>
  <c r="AS296" i="24"/>
  <c r="AS297" i="24"/>
  <c r="AS298" i="24"/>
  <c r="AS299" i="24"/>
  <c r="AS300" i="24"/>
  <c r="AS301" i="24"/>
  <c r="AS302" i="24"/>
  <c r="AS303" i="24"/>
  <c r="AS304" i="24"/>
  <c r="AS305" i="24"/>
  <c r="AS306" i="24"/>
  <c r="AS307" i="24"/>
  <c r="AS308" i="24"/>
  <c r="AS309" i="24"/>
  <c r="AS310" i="24"/>
  <c r="AS311" i="24"/>
  <c r="AS312" i="24"/>
  <c r="AS313" i="24"/>
  <c r="AS314" i="24"/>
  <c r="AS315" i="24"/>
  <c r="AS316" i="24"/>
  <c r="AS317" i="24"/>
  <c r="AS318" i="24"/>
  <c r="AS319" i="24"/>
  <c r="AS320" i="24"/>
  <c r="AS321" i="24"/>
  <c r="AS322" i="24"/>
  <c r="AS323" i="24"/>
  <c r="AS324" i="24"/>
  <c r="AS325" i="24"/>
  <c r="AS326" i="24"/>
  <c r="AS327" i="24"/>
  <c r="AS328" i="24"/>
  <c r="AS329" i="24"/>
  <c r="AS330" i="24"/>
  <c r="AS331" i="24"/>
  <c r="AS332" i="24"/>
  <c r="AS333" i="24"/>
  <c r="AS334" i="24"/>
  <c r="AS335" i="24"/>
  <c r="AS336" i="24"/>
  <c r="AS337" i="24"/>
  <c r="AS338" i="24"/>
  <c r="AS339" i="24"/>
  <c r="AS340" i="24"/>
  <c r="AS341" i="24"/>
  <c r="AS342" i="24"/>
  <c r="AS343" i="24"/>
  <c r="AS344" i="24"/>
  <c r="AS345" i="24"/>
  <c r="AS346" i="24"/>
  <c r="AS347" i="24"/>
  <c r="AS348" i="24"/>
  <c r="AS349" i="24"/>
  <c r="AS350" i="24"/>
  <c r="AS351" i="24"/>
  <c r="AS352" i="24"/>
  <c r="AS353" i="24"/>
  <c r="AS354" i="24"/>
  <c r="AS355" i="24"/>
  <c r="AS356" i="24"/>
  <c r="AS357" i="24"/>
  <c r="AS358" i="24"/>
  <c r="AS359" i="24"/>
  <c r="AS360" i="24"/>
  <c r="AS361" i="24"/>
  <c r="AS362" i="24"/>
  <c r="AS363" i="24"/>
  <c r="AS364" i="24"/>
  <c r="AS365" i="24"/>
  <c r="AS366" i="24"/>
  <c r="AS367" i="24"/>
  <c r="AS368" i="24"/>
  <c r="AS369" i="24"/>
  <c r="AS370" i="24"/>
  <c r="AS371" i="24"/>
  <c r="AS372" i="24"/>
  <c r="AS373" i="24"/>
  <c r="AS374" i="24"/>
  <c r="AS375" i="24"/>
  <c r="AS376" i="24"/>
  <c r="AS377" i="24"/>
  <c r="AS378" i="24"/>
  <c r="AS379" i="24"/>
  <c r="AS380" i="24"/>
  <c r="AS381" i="24"/>
  <c r="AS382" i="24"/>
  <c r="AS383" i="24"/>
  <c r="AS384" i="24"/>
  <c r="AS385" i="24"/>
  <c r="AS386" i="24"/>
  <c r="AS387" i="24"/>
  <c r="AS388" i="24"/>
  <c r="AS389" i="24"/>
  <c r="AS390" i="24"/>
  <c r="AS391" i="24"/>
  <c r="AS392" i="24"/>
  <c r="AS393" i="24"/>
  <c r="AS394" i="24"/>
  <c r="AS395" i="24"/>
  <c r="AS396" i="24"/>
  <c r="AS397" i="24"/>
  <c r="AS398" i="24"/>
  <c r="AS399" i="24"/>
  <c r="AS400" i="24"/>
  <c r="AS401" i="24"/>
  <c r="AS402" i="24"/>
  <c r="AS403" i="24"/>
  <c r="AS404" i="24"/>
  <c r="AS405" i="24"/>
  <c r="AS406" i="24"/>
  <c r="AS407" i="24"/>
  <c r="AS408" i="24"/>
  <c r="AS409" i="24"/>
  <c r="AS410" i="24"/>
  <c r="AS411" i="24"/>
  <c r="AS412" i="24"/>
  <c r="AS413" i="24"/>
  <c r="AS414" i="24"/>
  <c r="AS415" i="24"/>
  <c r="AS416" i="24"/>
  <c r="AS417" i="24"/>
  <c r="AS418" i="24"/>
  <c r="AS419" i="24"/>
  <c r="AS420" i="24"/>
  <c r="AS421" i="24"/>
  <c r="AS422" i="24"/>
  <c r="AS423" i="24"/>
  <c r="AS424" i="24"/>
  <c r="AS425" i="24"/>
  <c r="AS426" i="24"/>
  <c r="AS427" i="24"/>
  <c r="AS428" i="24"/>
  <c r="AS429" i="24"/>
  <c r="AS430" i="24"/>
  <c r="AS431" i="24"/>
  <c r="AS432" i="24"/>
  <c r="AS433" i="24"/>
  <c r="AS434" i="24"/>
  <c r="AS435" i="24"/>
  <c r="AS436" i="24"/>
  <c r="AS437" i="24"/>
  <c r="AS438" i="24"/>
  <c r="AS439" i="24"/>
  <c r="AS440" i="24"/>
  <c r="AS441" i="24"/>
  <c r="AS442" i="24"/>
  <c r="AS443" i="24"/>
  <c r="AS444" i="24"/>
  <c r="AS445" i="24"/>
  <c r="AS446" i="24"/>
  <c r="AS447" i="24"/>
  <c r="AS448" i="24"/>
  <c r="AS449" i="24"/>
  <c r="AS450" i="24"/>
  <c r="AS451" i="24"/>
  <c r="AS452" i="24"/>
  <c r="AS453" i="24"/>
  <c r="AS454" i="24"/>
  <c r="AS455" i="24"/>
  <c r="AS456" i="24"/>
  <c r="AS457" i="24"/>
  <c r="AS458" i="24"/>
  <c r="AS459" i="24"/>
  <c r="AS460" i="24"/>
  <c r="AS461" i="24"/>
  <c r="AS462" i="24"/>
  <c r="AS463" i="24"/>
  <c r="AS464" i="24"/>
  <c r="AS465" i="24"/>
  <c r="AS466" i="24"/>
  <c r="AS467" i="24"/>
  <c r="AS468" i="24"/>
  <c r="AS469" i="24"/>
  <c r="AS470" i="24"/>
  <c r="AS471" i="24"/>
  <c r="AS472" i="24"/>
  <c r="AS473" i="24"/>
  <c r="AS474" i="24"/>
  <c r="AS475" i="24"/>
  <c r="AS476" i="24"/>
  <c r="AS477" i="24"/>
  <c r="AS478" i="24"/>
  <c r="AS479" i="24"/>
  <c r="AS480" i="24"/>
  <c r="AS481" i="24"/>
  <c r="AS482" i="24"/>
  <c r="AS483" i="24"/>
  <c r="AS484" i="24"/>
  <c r="AS485" i="24"/>
  <c r="AS486" i="24"/>
  <c r="AS487" i="24"/>
  <c r="AS488" i="24"/>
  <c r="AS489" i="24"/>
  <c r="AS490" i="24"/>
  <c r="AS491" i="24"/>
  <c r="AS492" i="24"/>
  <c r="AS493" i="24"/>
  <c r="AS494" i="24"/>
  <c r="AS495" i="24"/>
  <c r="AS496" i="24"/>
  <c r="AS497" i="24"/>
  <c r="AS498" i="24"/>
  <c r="AS499" i="24"/>
  <c r="AS500" i="24"/>
  <c r="AS501" i="24"/>
  <c r="AS502" i="24"/>
  <c r="AS503" i="24"/>
  <c r="AS504" i="24"/>
  <c r="AS505" i="24"/>
  <c r="AS506" i="24"/>
  <c r="AS507" i="24"/>
  <c r="AS508" i="24"/>
  <c r="AS509" i="24"/>
  <c r="AS510" i="24"/>
  <c r="AS511" i="24"/>
  <c r="AS512" i="24"/>
  <c r="AS513" i="24"/>
  <c r="AS514" i="24"/>
  <c r="AS515" i="24"/>
  <c r="AS516" i="24"/>
  <c r="AS517" i="24"/>
  <c r="AS518" i="24"/>
  <c r="AS519" i="24"/>
  <c r="AS520" i="24"/>
  <c r="AS521" i="24"/>
  <c r="AS522" i="24"/>
  <c r="AS523" i="24"/>
  <c r="AS524" i="24"/>
  <c r="AS525" i="24"/>
  <c r="AS526" i="24"/>
  <c r="AS527" i="24"/>
  <c r="AS528" i="24"/>
  <c r="AS529" i="24"/>
  <c r="AS530" i="24"/>
  <c r="AS531" i="24"/>
  <c r="AS532" i="24"/>
  <c r="AS533" i="24"/>
  <c r="AS534" i="24"/>
  <c r="AS535" i="24"/>
  <c r="AS536" i="24"/>
  <c r="AS537" i="24"/>
  <c r="AS538" i="24"/>
  <c r="AS539" i="24"/>
  <c r="AS540" i="24"/>
  <c r="AS541" i="24"/>
  <c r="AS542" i="24"/>
  <c r="AS543" i="24"/>
  <c r="AS544" i="24"/>
  <c r="AS545" i="24"/>
  <c r="AS546" i="24"/>
  <c r="AS547" i="24"/>
  <c r="AS548" i="24"/>
  <c r="AS549" i="24"/>
  <c r="AS550" i="24"/>
  <c r="AS551" i="24"/>
  <c r="AS552" i="24"/>
  <c r="AS553" i="24"/>
  <c r="AS554" i="24"/>
  <c r="AS555" i="24"/>
  <c r="AS556" i="24"/>
  <c r="AS557" i="24"/>
  <c r="AS558" i="24"/>
  <c r="AS559" i="24"/>
  <c r="AS560" i="24"/>
  <c r="AS561" i="24"/>
  <c r="AS562" i="24"/>
  <c r="AS563" i="24"/>
  <c r="AS564" i="24"/>
  <c r="AS565" i="24"/>
  <c r="AS566" i="24"/>
  <c r="AS567" i="24"/>
  <c r="AS568" i="24"/>
  <c r="AS569" i="24"/>
  <c r="AS570" i="24"/>
  <c r="AS571" i="24"/>
  <c r="AS572" i="24"/>
  <c r="AS573" i="24"/>
  <c r="AS574" i="24"/>
  <c r="AS575" i="24"/>
  <c r="AS576" i="24"/>
  <c r="AS577" i="24"/>
  <c r="AS578" i="24"/>
  <c r="AS579" i="24"/>
  <c r="AS580" i="24"/>
  <c r="AS581" i="24"/>
  <c r="AS582" i="24"/>
  <c r="AS583" i="24"/>
  <c r="AS584" i="24"/>
  <c r="AS585" i="24"/>
  <c r="AS586" i="24"/>
  <c r="AS587" i="24"/>
  <c r="AS588" i="24"/>
  <c r="AS589" i="24"/>
  <c r="AS590" i="24"/>
  <c r="AS591" i="24"/>
  <c r="AS592" i="24"/>
  <c r="AS593" i="24"/>
  <c r="AS594" i="24"/>
  <c r="AS595" i="24"/>
  <c r="AS596" i="24"/>
  <c r="AS597" i="24"/>
  <c r="AS598" i="24"/>
  <c r="AS599" i="24"/>
  <c r="AS600" i="24"/>
  <c r="AS601" i="24"/>
  <c r="AS602" i="24"/>
  <c r="AS603" i="24"/>
  <c r="AS604" i="24"/>
  <c r="AS605" i="24"/>
  <c r="AS606" i="24"/>
  <c r="AS607" i="24"/>
  <c r="AS608" i="24"/>
  <c r="AS609" i="24"/>
  <c r="AS610" i="24"/>
  <c r="AS611" i="24"/>
  <c r="AS612" i="24"/>
  <c r="AS613" i="24"/>
  <c r="AS614" i="24"/>
  <c r="AS615" i="24"/>
  <c r="AS616" i="24"/>
  <c r="AS617" i="24"/>
  <c r="AS618" i="24"/>
  <c r="AS619" i="24"/>
  <c r="AS620" i="24"/>
  <c r="AS621" i="24"/>
  <c r="AS622" i="24"/>
  <c r="AS623" i="24"/>
  <c r="AS624" i="24"/>
  <c r="AS625" i="24"/>
  <c r="AS626" i="24"/>
  <c r="AS627" i="24"/>
  <c r="AS628" i="24"/>
  <c r="AS629" i="24"/>
  <c r="AS630" i="24"/>
  <c r="AS631" i="24"/>
  <c r="AS632" i="24"/>
  <c r="AS633" i="24"/>
  <c r="AS634" i="24"/>
  <c r="AS635" i="24"/>
  <c r="AS636" i="24"/>
  <c r="AS637" i="24"/>
  <c r="AS638" i="24"/>
  <c r="AS639" i="24"/>
  <c r="AS640" i="24"/>
  <c r="AS641" i="24"/>
  <c r="AS642" i="24"/>
  <c r="AS643" i="24"/>
  <c r="AS644" i="24"/>
  <c r="AS645" i="24"/>
  <c r="AS646" i="24"/>
  <c r="AS647" i="24"/>
  <c r="AS648" i="24"/>
  <c r="AS649" i="24"/>
  <c r="AS650" i="24"/>
  <c r="AS651" i="24"/>
  <c r="AS652" i="24"/>
  <c r="AS653" i="24"/>
  <c r="AS654" i="24"/>
  <c r="AS655" i="24"/>
  <c r="AS656" i="24"/>
  <c r="AS657" i="24"/>
  <c r="AS658" i="24"/>
  <c r="AS659" i="24"/>
  <c r="AS660" i="24"/>
  <c r="AS661" i="24"/>
  <c r="AS662" i="24"/>
  <c r="AS663" i="24"/>
  <c r="AS664" i="24"/>
  <c r="AS665" i="24"/>
  <c r="AS666" i="24"/>
  <c r="AS667" i="24"/>
  <c r="AS668" i="24"/>
  <c r="AS669" i="24"/>
  <c r="AS670" i="24"/>
  <c r="AS671" i="24"/>
  <c r="AS672" i="24"/>
  <c r="AS673" i="24"/>
  <c r="AS674" i="24"/>
  <c r="AS675" i="24"/>
  <c r="AS676" i="24"/>
  <c r="AS677" i="24"/>
  <c r="AS678" i="24"/>
  <c r="AS679" i="24"/>
  <c r="AS680" i="24"/>
  <c r="AS681" i="24"/>
  <c r="AS682" i="24"/>
  <c r="AS683" i="24"/>
  <c r="AS684" i="24"/>
  <c r="AS685" i="24"/>
  <c r="AS686" i="24"/>
  <c r="AS687" i="24"/>
  <c r="AS688" i="24"/>
  <c r="AS689" i="24"/>
  <c r="AS690" i="24"/>
  <c r="AS691" i="24"/>
  <c r="AS692" i="24"/>
  <c r="AS693" i="24"/>
  <c r="AS694" i="24"/>
  <c r="AS695" i="24"/>
  <c r="AS696" i="24"/>
  <c r="AS697" i="24"/>
  <c r="AS698" i="24"/>
  <c r="AS699" i="24"/>
  <c r="AS700" i="24"/>
  <c r="AS701" i="24"/>
  <c r="AS702" i="24"/>
  <c r="AS703" i="24"/>
  <c r="AS704" i="24"/>
  <c r="AS705" i="24"/>
  <c r="AS706" i="24"/>
  <c r="AS707" i="24"/>
  <c r="AS708" i="24"/>
  <c r="AS709" i="24"/>
  <c r="AS710" i="24"/>
  <c r="AS711" i="24"/>
  <c r="AS712" i="24"/>
  <c r="AS713" i="24"/>
  <c r="AS714" i="24"/>
  <c r="AS715" i="24"/>
  <c r="AS716" i="24"/>
  <c r="AS717" i="24"/>
  <c r="AS718" i="24"/>
  <c r="AS719" i="24"/>
  <c r="AS720" i="24"/>
  <c r="AS721" i="24"/>
  <c r="AS722" i="24"/>
  <c r="AS723" i="24"/>
  <c r="AS724" i="24"/>
  <c r="AS725" i="24"/>
  <c r="AS726" i="24"/>
  <c r="AS727" i="24"/>
  <c r="AS728" i="24"/>
  <c r="AS729" i="24"/>
  <c r="AS730" i="24"/>
  <c r="AS731" i="24"/>
  <c r="AS732" i="24"/>
  <c r="AS733" i="24"/>
  <c r="AS734" i="24"/>
  <c r="AS735" i="24"/>
  <c r="AS736" i="24"/>
  <c r="AS737" i="24"/>
  <c r="AS738" i="24"/>
  <c r="AS739" i="24"/>
  <c r="AS740" i="24"/>
  <c r="AS741" i="24"/>
  <c r="AS742" i="24"/>
  <c r="AS743" i="24"/>
  <c r="AS744" i="24"/>
  <c r="AS745" i="24"/>
  <c r="AS746" i="24"/>
  <c r="AS747" i="24"/>
  <c r="AS748" i="24"/>
  <c r="AS749" i="24"/>
  <c r="AS750" i="24"/>
  <c r="AS751" i="24"/>
  <c r="AS752" i="24"/>
  <c r="AS753" i="24"/>
  <c r="AS754" i="24"/>
  <c r="AS755" i="24"/>
  <c r="AS756" i="24"/>
  <c r="AS757" i="24"/>
  <c r="AS758" i="24"/>
  <c r="AS759" i="24"/>
  <c r="AS760" i="24"/>
  <c r="AS761" i="24"/>
  <c r="AS762" i="24"/>
  <c r="AS763" i="24"/>
  <c r="AS764" i="24"/>
  <c r="AS765" i="24"/>
  <c r="AS766" i="24"/>
  <c r="AS767" i="24"/>
  <c r="AS768" i="24"/>
  <c r="AS769" i="24"/>
  <c r="AS770" i="24"/>
  <c r="AS771" i="24"/>
  <c r="AS772" i="24"/>
  <c r="AS773" i="24"/>
  <c r="AS774" i="24"/>
  <c r="AS775" i="24"/>
  <c r="AS776" i="24"/>
  <c r="AS777" i="24"/>
  <c r="AS778" i="24"/>
  <c r="AS779" i="24"/>
  <c r="AS780" i="24"/>
  <c r="AS781" i="24"/>
  <c r="AS782" i="24"/>
  <c r="AS783" i="24"/>
  <c r="AS784" i="24"/>
  <c r="AS785" i="24"/>
  <c r="AS786" i="24"/>
  <c r="AS787" i="24"/>
  <c r="AS788" i="24"/>
  <c r="AS789" i="24"/>
  <c r="AS790" i="24"/>
  <c r="AS791" i="24"/>
  <c r="AS792" i="24"/>
  <c r="AS793" i="24"/>
  <c r="AS794" i="24"/>
  <c r="AS795" i="24"/>
  <c r="AS796" i="24"/>
  <c r="AS797" i="24"/>
  <c r="AS798" i="24"/>
  <c r="AS799" i="24"/>
  <c r="AS800" i="24"/>
  <c r="AS801" i="24"/>
  <c r="AS802" i="24"/>
  <c r="AS803" i="24"/>
  <c r="AS804" i="24"/>
  <c r="AS805" i="24"/>
  <c r="AS806" i="24"/>
  <c r="AS807" i="24"/>
  <c r="AS808" i="24"/>
  <c r="AS809" i="24"/>
  <c r="AS810" i="24"/>
  <c r="AS811" i="24"/>
  <c r="AS812" i="24"/>
  <c r="AS813" i="24"/>
  <c r="AS814" i="24"/>
  <c r="AS815" i="24"/>
  <c r="AS816" i="24"/>
  <c r="AS817" i="24"/>
  <c r="AS818" i="24"/>
  <c r="AS819" i="24"/>
  <c r="AS820" i="24"/>
  <c r="AS821" i="24"/>
  <c r="AS822" i="24"/>
  <c r="AS823" i="24"/>
  <c r="AS824" i="24"/>
  <c r="AS825" i="24"/>
  <c r="AS826" i="24"/>
  <c r="AS827" i="24"/>
  <c r="AS828" i="24"/>
  <c r="AS829" i="24"/>
  <c r="AS830" i="24"/>
  <c r="AS831" i="24"/>
  <c r="AS832" i="24"/>
  <c r="AS833" i="24"/>
  <c r="AS834" i="24"/>
  <c r="AS835" i="24"/>
  <c r="AS836" i="24"/>
  <c r="AS837" i="24"/>
  <c r="AS838" i="24"/>
  <c r="AS839" i="24"/>
  <c r="AS840" i="24"/>
  <c r="AS841" i="24"/>
  <c r="AS842" i="24"/>
  <c r="AS843" i="24"/>
  <c r="AS844" i="24"/>
  <c r="AS845" i="24"/>
  <c r="AS846" i="24"/>
  <c r="AS847" i="24"/>
  <c r="AS848" i="24"/>
  <c r="AS849" i="24"/>
  <c r="AS850" i="24"/>
  <c r="AS851" i="24"/>
  <c r="AS852" i="24"/>
  <c r="AS853" i="24"/>
  <c r="AS854" i="24"/>
  <c r="AS855" i="24"/>
  <c r="AS856" i="24"/>
  <c r="AS857" i="24"/>
  <c r="AS858" i="24"/>
  <c r="AS859" i="24"/>
  <c r="AS860" i="24"/>
  <c r="AS861" i="24"/>
  <c r="AS862" i="24"/>
  <c r="AS863" i="24"/>
  <c r="AS864" i="24"/>
  <c r="AS865" i="24"/>
  <c r="AS866" i="24"/>
  <c r="AS867" i="24"/>
  <c r="AS868" i="24"/>
  <c r="AS869" i="24"/>
  <c r="AS870" i="24"/>
  <c r="AS871" i="24"/>
  <c r="AS872" i="24"/>
  <c r="AS873" i="24"/>
  <c r="AS874" i="24"/>
  <c r="AS875" i="24"/>
  <c r="AS876" i="24"/>
  <c r="AS877" i="24"/>
  <c r="AS878" i="24"/>
  <c r="AS879" i="24"/>
  <c r="AS880" i="24"/>
  <c r="AS881" i="24"/>
  <c r="AS882" i="24"/>
  <c r="AS883" i="24"/>
  <c r="AS884" i="24"/>
  <c r="AS885" i="24"/>
  <c r="AS886" i="24"/>
  <c r="AS887" i="24"/>
  <c r="AS888" i="24"/>
  <c r="AS889" i="24"/>
  <c r="AS890" i="24"/>
  <c r="AS891" i="24"/>
  <c r="AS892" i="24"/>
  <c r="AS893" i="24"/>
  <c r="AS894" i="24"/>
  <c r="AS895" i="24"/>
  <c r="AS896" i="24"/>
  <c r="AS897" i="24"/>
  <c r="AS898" i="24"/>
  <c r="AS899" i="24"/>
  <c r="AS900" i="24"/>
  <c r="AS901" i="24"/>
  <c r="AS902" i="24"/>
  <c r="AS903" i="24"/>
  <c r="AS904" i="24"/>
  <c r="AS905" i="24"/>
  <c r="AS906" i="24"/>
  <c r="AS907" i="24"/>
  <c r="AS908" i="24"/>
  <c r="AS909" i="24"/>
  <c r="AS910" i="24"/>
  <c r="AS911" i="24"/>
  <c r="AS912" i="24"/>
  <c r="AS913" i="24"/>
  <c r="AS914" i="24"/>
  <c r="AS915" i="24"/>
  <c r="AS916" i="24"/>
  <c r="AS917" i="24"/>
  <c r="AS918" i="24"/>
  <c r="AS919" i="24"/>
  <c r="AS920" i="24"/>
  <c r="AS921" i="24"/>
  <c r="AS922" i="24"/>
  <c r="AS923" i="24"/>
  <c r="AS924" i="24"/>
  <c r="AS925" i="24"/>
  <c r="AS926" i="24"/>
  <c r="AS927" i="24"/>
  <c r="AS928" i="24"/>
  <c r="AS929" i="24"/>
  <c r="AS930" i="24"/>
  <c r="AS931" i="24"/>
  <c r="AS932" i="24"/>
  <c r="AS933" i="24"/>
  <c r="AS934" i="24"/>
  <c r="AS935" i="24"/>
  <c r="AS936" i="24"/>
  <c r="AS937" i="24"/>
  <c r="AS938" i="24"/>
  <c r="AS939" i="24"/>
  <c r="AS940" i="24"/>
  <c r="AS941" i="24"/>
  <c r="AS942" i="24"/>
  <c r="AS943" i="24"/>
  <c r="AS944" i="24"/>
  <c r="AS945" i="24"/>
  <c r="AS946" i="24"/>
  <c r="AS947" i="24"/>
  <c r="AS948" i="24"/>
  <c r="AS949" i="24"/>
  <c r="AS950" i="24"/>
  <c r="AS951" i="24"/>
  <c r="AS952" i="24"/>
  <c r="AS953" i="24"/>
  <c r="AS954" i="24"/>
  <c r="AS955" i="24"/>
  <c r="AS956" i="24"/>
  <c r="AS957" i="24"/>
  <c r="AS958" i="24"/>
  <c r="AS959" i="24"/>
  <c r="AS960" i="24"/>
  <c r="AS961" i="24"/>
  <c r="AS962" i="24"/>
  <c r="AS963" i="24"/>
  <c r="AS964" i="24"/>
  <c r="AS965" i="24"/>
  <c r="AS966" i="24"/>
  <c r="AS967" i="24"/>
  <c r="AS968" i="24"/>
  <c r="AS969" i="24"/>
  <c r="AS970" i="24"/>
  <c r="AS971" i="24"/>
  <c r="AS972" i="24"/>
  <c r="AS973" i="24"/>
  <c r="AS974" i="24"/>
  <c r="AS975" i="24"/>
  <c r="AS976" i="24"/>
  <c r="AS977" i="24"/>
  <c r="AS978" i="24"/>
  <c r="AS979" i="24"/>
  <c r="AS980" i="24"/>
  <c r="AS981" i="24"/>
  <c r="AS982" i="24"/>
  <c r="AS983" i="24"/>
  <c r="AS984" i="24"/>
  <c r="AS985" i="24"/>
  <c r="AS986" i="24"/>
  <c r="AS987" i="24"/>
  <c r="AS988" i="24"/>
  <c r="AS989" i="24"/>
  <c r="AS990" i="24"/>
  <c r="AS991" i="24"/>
  <c r="AS992" i="24"/>
  <c r="AS993" i="24"/>
  <c r="AS994" i="24"/>
  <c r="AS995" i="24"/>
  <c r="AS996" i="24"/>
  <c r="AS997" i="24"/>
  <c r="AS998" i="24"/>
  <c r="AQ252" i="24"/>
  <c r="AQ253" i="24"/>
  <c r="AQ254" i="24"/>
  <c r="AQ255" i="24"/>
  <c r="AQ256" i="24"/>
  <c r="AQ257" i="24"/>
  <c r="AQ258" i="24"/>
  <c r="AQ259" i="24"/>
  <c r="AQ260" i="24"/>
  <c r="AQ261" i="24"/>
  <c r="AQ262" i="24"/>
  <c r="AQ263" i="24"/>
  <c r="AQ264" i="24"/>
  <c r="AQ265" i="24"/>
  <c r="AQ266" i="24"/>
  <c r="AQ267" i="24"/>
  <c r="AQ268" i="24"/>
  <c r="AQ269" i="24"/>
  <c r="AQ270" i="24"/>
  <c r="AQ271" i="24"/>
  <c r="AQ272" i="24"/>
  <c r="AQ273" i="24"/>
  <c r="AQ274" i="24"/>
  <c r="AQ275" i="24"/>
  <c r="AQ276" i="24"/>
  <c r="AQ277" i="24"/>
  <c r="AQ278" i="24"/>
  <c r="AQ279" i="24"/>
  <c r="AQ280" i="24"/>
  <c r="AQ281" i="24"/>
  <c r="AQ282" i="24"/>
  <c r="AQ283" i="24"/>
  <c r="AQ284" i="24"/>
  <c r="AQ285" i="24"/>
  <c r="AQ286" i="24"/>
  <c r="AQ287" i="24"/>
  <c r="AQ288" i="24"/>
  <c r="AQ289" i="24"/>
  <c r="AQ290" i="24"/>
  <c r="AQ291" i="24"/>
  <c r="AQ292" i="24"/>
  <c r="AQ293" i="24"/>
  <c r="AQ294" i="24"/>
  <c r="AQ295" i="24"/>
  <c r="AQ296" i="24"/>
  <c r="AQ297" i="24"/>
  <c r="AQ298" i="24"/>
  <c r="AQ299" i="24"/>
  <c r="AQ300" i="24"/>
  <c r="AQ301" i="24"/>
  <c r="AQ302" i="24"/>
  <c r="AQ303" i="24"/>
  <c r="AQ304" i="24"/>
  <c r="AQ305" i="24"/>
  <c r="AQ306" i="24"/>
  <c r="AQ307" i="24"/>
  <c r="AQ308" i="24"/>
  <c r="AQ309" i="24"/>
  <c r="AQ310" i="24"/>
  <c r="AQ311" i="24"/>
  <c r="AQ312" i="24"/>
  <c r="AQ313" i="24"/>
  <c r="AQ314" i="24"/>
  <c r="AQ315" i="24"/>
  <c r="AQ316" i="24"/>
  <c r="AQ317" i="24"/>
  <c r="AQ318" i="24"/>
  <c r="AQ319" i="24"/>
  <c r="AQ320" i="24"/>
  <c r="AQ321" i="24"/>
  <c r="AQ322" i="24"/>
  <c r="AQ323" i="24"/>
  <c r="AQ324" i="24"/>
  <c r="AQ325" i="24"/>
  <c r="AQ326" i="24"/>
  <c r="AQ327" i="24"/>
  <c r="AQ328" i="24"/>
  <c r="AQ329" i="24"/>
  <c r="AQ330" i="24"/>
  <c r="AQ331" i="24"/>
  <c r="AQ332" i="24"/>
  <c r="AQ333" i="24"/>
  <c r="AQ334" i="24"/>
  <c r="AQ335" i="24"/>
  <c r="AQ336" i="24"/>
  <c r="AQ337" i="24"/>
  <c r="AQ338" i="24"/>
  <c r="AQ339" i="24"/>
  <c r="AQ340" i="24"/>
  <c r="AQ341" i="24"/>
  <c r="AQ342" i="24"/>
  <c r="AQ343" i="24"/>
  <c r="AQ344" i="24"/>
  <c r="AQ345" i="24"/>
  <c r="AQ346" i="24"/>
  <c r="AQ347" i="24"/>
  <c r="AQ348" i="24"/>
  <c r="AQ349" i="24"/>
  <c r="AQ350" i="24"/>
  <c r="AQ351" i="24"/>
  <c r="AQ352" i="24"/>
  <c r="AQ353" i="24"/>
  <c r="AQ354" i="24"/>
  <c r="AQ355" i="24"/>
  <c r="AQ356" i="24"/>
  <c r="AQ357" i="24"/>
  <c r="AQ358" i="24"/>
  <c r="AQ359" i="24"/>
  <c r="AQ360" i="24"/>
  <c r="AQ361" i="24"/>
  <c r="AQ362" i="24"/>
  <c r="AQ363" i="24"/>
  <c r="AQ364" i="24"/>
  <c r="AQ365" i="24"/>
  <c r="AQ366" i="24"/>
  <c r="AQ367" i="24"/>
  <c r="AQ368" i="24"/>
  <c r="AQ369" i="24"/>
  <c r="AQ370" i="24"/>
  <c r="AQ371" i="24"/>
  <c r="AQ372" i="24"/>
  <c r="AQ373" i="24"/>
  <c r="AQ374" i="24"/>
  <c r="AQ375" i="24"/>
  <c r="AQ376" i="24"/>
  <c r="AQ377" i="24"/>
  <c r="AQ378" i="24"/>
  <c r="AQ379" i="24"/>
  <c r="AQ380" i="24"/>
  <c r="AQ381" i="24"/>
  <c r="AQ382" i="24"/>
  <c r="AQ383" i="24"/>
  <c r="AQ384" i="24"/>
  <c r="AQ385" i="24"/>
  <c r="AQ386" i="24"/>
  <c r="AQ387" i="24"/>
  <c r="AQ388" i="24"/>
  <c r="AQ389" i="24"/>
  <c r="AQ390" i="24"/>
  <c r="AQ391" i="24"/>
  <c r="AQ392" i="24"/>
  <c r="AQ393" i="24"/>
  <c r="AQ394" i="24"/>
  <c r="AQ395" i="24"/>
  <c r="AQ396" i="24"/>
  <c r="AQ397" i="24"/>
  <c r="AQ398" i="24"/>
  <c r="AQ399" i="24"/>
  <c r="AQ400" i="24"/>
  <c r="AQ401" i="24"/>
  <c r="AQ402" i="24"/>
  <c r="AQ403" i="24"/>
  <c r="AQ404" i="24"/>
  <c r="AQ405" i="24"/>
  <c r="AQ406" i="24"/>
  <c r="AQ407" i="24"/>
  <c r="AQ408" i="24"/>
  <c r="AQ409" i="24"/>
  <c r="AQ410" i="24"/>
  <c r="AQ411" i="24"/>
  <c r="AQ412" i="24"/>
  <c r="AQ413" i="24"/>
  <c r="AQ414" i="24"/>
  <c r="AQ415" i="24"/>
  <c r="AQ416" i="24"/>
  <c r="AQ417" i="24"/>
  <c r="AQ418" i="24"/>
  <c r="AQ419" i="24"/>
  <c r="AQ420" i="24"/>
  <c r="AQ421" i="24"/>
  <c r="AQ422" i="24"/>
  <c r="AQ423" i="24"/>
  <c r="AQ424" i="24"/>
  <c r="AQ425" i="24"/>
  <c r="AQ426" i="24"/>
  <c r="AQ427" i="24"/>
  <c r="AQ428" i="24"/>
  <c r="AQ429" i="24"/>
  <c r="AQ430" i="24"/>
  <c r="AQ431" i="24"/>
  <c r="AQ432" i="24"/>
  <c r="AQ433" i="24"/>
  <c r="AQ434" i="24"/>
  <c r="AQ435" i="24"/>
  <c r="AQ436" i="24"/>
  <c r="AQ437" i="24"/>
  <c r="AQ438" i="24"/>
  <c r="AQ439" i="24"/>
  <c r="AQ440" i="24"/>
  <c r="AQ441" i="24"/>
  <c r="AQ442" i="24"/>
  <c r="AQ443" i="24"/>
  <c r="AQ444" i="24"/>
  <c r="AQ445" i="24"/>
  <c r="AQ446" i="24"/>
  <c r="AQ447" i="24"/>
  <c r="AQ448" i="24"/>
  <c r="AQ449" i="24"/>
  <c r="AQ450" i="24"/>
  <c r="AQ451" i="24"/>
  <c r="AQ452" i="24"/>
  <c r="AQ453" i="24"/>
  <c r="AQ454" i="24"/>
  <c r="AQ455" i="24"/>
  <c r="AQ456" i="24"/>
  <c r="AQ457" i="24"/>
  <c r="AQ458" i="24"/>
  <c r="AQ459" i="24"/>
  <c r="AQ460" i="24"/>
  <c r="AQ461" i="24"/>
  <c r="AQ462" i="24"/>
  <c r="AQ463" i="24"/>
  <c r="AQ464" i="24"/>
  <c r="AQ465" i="24"/>
  <c r="AQ466" i="24"/>
  <c r="AQ467" i="24"/>
  <c r="AQ468" i="24"/>
  <c r="AQ469" i="24"/>
  <c r="AQ470" i="24"/>
  <c r="AQ471" i="24"/>
  <c r="AQ472" i="24"/>
  <c r="AQ473" i="24"/>
  <c r="AQ474" i="24"/>
  <c r="AQ475" i="24"/>
  <c r="AQ476" i="24"/>
  <c r="AQ477" i="24"/>
  <c r="AQ478" i="24"/>
  <c r="AQ479" i="24"/>
  <c r="AQ480" i="24"/>
  <c r="AQ481" i="24"/>
  <c r="AQ482" i="24"/>
  <c r="AQ483" i="24"/>
  <c r="AQ484" i="24"/>
  <c r="AQ485" i="24"/>
  <c r="AQ486" i="24"/>
  <c r="AQ487" i="24"/>
  <c r="AQ488" i="24"/>
  <c r="AQ489" i="24"/>
  <c r="AQ490" i="24"/>
  <c r="AQ491" i="24"/>
  <c r="AQ492" i="24"/>
  <c r="AQ493" i="24"/>
  <c r="AQ494" i="24"/>
  <c r="AQ495" i="24"/>
  <c r="AQ496" i="24"/>
  <c r="AQ497" i="24"/>
  <c r="AQ498" i="24"/>
  <c r="AQ499" i="24"/>
  <c r="AQ500" i="24"/>
  <c r="AQ501" i="24"/>
  <c r="AQ502" i="24"/>
  <c r="AQ503" i="24"/>
  <c r="AQ504" i="24"/>
  <c r="AQ505" i="24"/>
  <c r="AQ506" i="24"/>
  <c r="AQ507" i="24"/>
  <c r="AQ508" i="24"/>
  <c r="AQ509" i="24"/>
  <c r="AQ510" i="24"/>
  <c r="AQ511" i="24"/>
  <c r="AQ512" i="24"/>
  <c r="AQ513" i="24"/>
  <c r="AQ514" i="24"/>
  <c r="AQ515" i="24"/>
  <c r="AQ516" i="24"/>
  <c r="AQ517" i="24"/>
  <c r="AQ518" i="24"/>
  <c r="AQ519" i="24"/>
  <c r="AQ520" i="24"/>
  <c r="AQ521" i="24"/>
  <c r="AQ522" i="24"/>
  <c r="AQ523" i="24"/>
  <c r="AQ524" i="24"/>
  <c r="AQ525" i="24"/>
  <c r="AQ526" i="24"/>
  <c r="AQ527" i="24"/>
  <c r="AQ528" i="24"/>
  <c r="AQ529" i="24"/>
  <c r="AQ530" i="24"/>
  <c r="AQ531" i="24"/>
  <c r="AQ532" i="24"/>
  <c r="AQ533" i="24"/>
  <c r="AQ534" i="24"/>
  <c r="AQ535" i="24"/>
  <c r="AQ536" i="24"/>
  <c r="AQ537" i="24"/>
  <c r="AQ538" i="24"/>
  <c r="AQ539" i="24"/>
  <c r="AQ540" i="24"/>
  <c r="AQ541" i="24"/>
  <c r="AQ542" i="24"/>
  <c r="AQ543" i="24"/>
  <c r="AQ544" i="24"/>
  <c r="AQ545" i="24"/>
  <c r="AQ546" i="24"/>
  <c r="AQ547" i="24"/>
  <c r="AQ548" i="24"/>
  <c r="AQ549" i="24"/>
  <c r="AQ550" i="24"/>
  <c r="AQ551" i="24"/>
  <c r="AQ552" i="24"/>
  <c r="AQ553" i="24"/>
  <c r="AQ554" i="24"/>
  <c r="AQ555" i="24"/>
  <c r="AQ556" i="24"/>
  <c r="AQ557" i="24"/>
  <c r="AQ558" i="24"/>
  <c r="AQ559" i="24"/>
  <c r="AQ560" i="24"/>
  <c r="AQ561" i="24"/>
  <c r="AQ562" i="24"/>
  <c r="AQ563" i="24"/>
  <c r="AQ564" i="24"/>
  <c r="AQ565" i="24"/>
  <c r="AQ566" i="24"/>
  <c r="AQ567" i="24"/>
  <c r="AQ568" i="24"/>
  <c r="AQ569" i="24"/>
  <c r="AQ570" i="24"/>
  <c r="AQ571" i="24"/>
  <c r="AQ572" i="24"/>
  <c r="AQ573" i="24"/>
  <c r="AQ574" i="24"/>
  <c r="AQ575" i="24"/>
  <c r="AQ576" i="24"/>
  <c r="AQ577" i="24"/>
  <c r="AQ578" i="24"/>
  <c r="AQ579" i="24"/>
  <c r="AQ580" i="24"/>
  <c r="AQ581" i="24"/>
  <c r="AQ582" i="24"/>
  <c r="AQ583" i="24"/>
  <c r="AQ584" i="24"/>
  <c r="AQ585" i="24"/>
  <c r="AQ586" i="24"/>
  <c r="AQ587" i="24"/>
  <c r="AQ588" i="24"/>
  <c r="AQ589" i="24"/>
  <c r="AQ590" i="24"/>
  <c r="AQ591" i="24"/>
  <c r="AQ592" i="24"/>
  <c r="AQ593" i="24"/>
  <c r="AQ594" i="24"/>
  <c r="AQ595" i="24"/>
  <c r="AQ596" i="24"/>
  <c r="AQ597" i="24"/>
  <c r="AQ598" i="24"/>
  <c r="AQ599" i="24"/>
  <c r="AQ600" i="24"/>
  <c r="AQ601" i="24"/>
  <c r="AQ602" i="24"/>
  <c r="AQ603" i="24"/>
  <c r="AQ604" i="24"/>
  <c r="AQ605" i="24"/>
  <c r="AQ606" i="24"/>
  <c r="AQ607" i="24"/>
  <c r="AQ608" i="24"/>
  <c r="AQ609" i="24"/>
  <c r="AQ610" i="24"/>
  <c r="AQ611" i="24"/>
  <c r="AQ612" i="24"/>
  <c r="AQ613" i="24"/>
  <c r="AQ614" i="24"/>
  <c r="AQ615" i="24"/>
  <c r="AQ616" i="24"/>
  <c r="AQ617" i="24"/>
  <c r="AQ618" i="24"/>
  <c r="AQ619" i="24"/>
  <c r="AQ620" i="24"/>
  <c r="AQ621" i="24"/>
  <c r="AQ622" i="24"/>
  <c r="AQ623" i="24"/>
  <c r="AQ624" i="24"/>
  <c r="AQ625" i="24"/>
  <c r="AQ626" i="24"/>
  <c r="AQ627" i="24"/>
  <c r="AQ628" i="24"/>
  <c r="AQ629" i="24"/>
  <c r="AQ630" i="24"/>
  <c r="AQ631" i="24"/>
  <c r="AQ632" i="24"/>
  <c r="AQ633" i="24"/>
  <c r="AQ634" i="24"/>
  <c r="AQ635" i="24"/>
  <c r="AQ636" i="24"/>
  <c r="AQ637" i="24"/>
  <c r="AQ638" i="24"/>
  <c r="AQ639" i="24"/>
  <c r="AQ640" i="24"/>
  <c r="AQ641" i="24"/>
  <c r="AQ642" i="24"/>
  <c r="AQ643" i="24"/>
  <c r="AQ644" i="24"/>
  <c r="AQ645" i="24"/>
  <c r="AQ646" i="24"/>
  <c r="AQ647" i="24"/>
  <c r="AQ648" i="24"/>
  <c r="AQ649" i="24"/>
  <c r="AQ650" i="24"/>
  <c r="AQ651" i="24"/>
  <c r="AQ652" i="24"/>
  <c r="AQ653" i="24"/>
  <c r="AQ654" i="24"/>
  <c r="AQ655" i="24"/>
  <c r="AQ656" i="24"/>
  <c r="AQ657" i="24"/>
  <c r="AQ658" i="24"/>
  <c r="AQ659" i="24"/>
  <c r="AQ660" i="24"/>
  <c r="AQ661" i="24"/>
  <c r="AQ662" i="24"/>
  <c r="AQ663" i="24"/>
  <c r="AQ664" i="24"/>
  <c r="AQ665" i="24"/>
  <c r="AQ666" i="24"/>
  <c r="AQ667" i="24"/>
  <c r="AQ668" i="24"/>
  <c r="AQ669" i="24"/>
  <c r="AQ670" i="24"/>
  <c r="AQ671" i="24"/>
  <c r="AQ672" i="24"/>
  <c r="AQ673" i="24"/>
  <c r="AQ674" i="24"/>
  <c r="AQ675" i="24"/>
  <c r="AQ676" i="24"/>
  <c r="AQ677" i="24"/>
  <c r="AQ678" i="24"/>
  <c r="AQ679" i="24"/>
  <c r="AQ680" i="24"/>
  <c r="AQ681" i="24"/>
  <c r="AQ682" i="24"/>
  <c r="AQ683" i="24"/>
  <c r="AQ684" i="24"/>
  <c r="AQ685" i="24"/>
  <c r="AQ686" i="24"/>
  <c r="AQ687" i="24"/>
  <c r="AQ688" i="24"/>
  <c r="AQ689" i="24"/>
  <c r="AQ690" i="24"/>
  <c r="AQ691" i="24"/>
  <c r="AQ692" i="24"/>
  <c r="AQ693" i="24"/>
  <c r="AQ694" i="24"/>
  <c r="AQ695" i="24"/>
  <c r="AQ696" i="24"/>
  <c r="AQ697" i="24"/>
  <c r="AQ698" i="24"/>
  <c r="AQ699" i="24"/>
  <c r="AQ700" i="24"/>
  <c r="AQ701" i="24"/>
  <c r="AQ702" i="24"/>
  <c r="AQ703" i="24"/>
  <c r="AQ704" i="24"/>
  <c r="AQ705" i="24"/>
  <c r="AQ706" i="24"/>
  <c r="AQ707" i="24"/>
  <c r="AQ708" i="24"/>
  <c r="AQ709" i="24"/>
  <c r="AQ710" i="24"/>
  <c r="AQ711" i="24"/>
  <c r="AQ712" i="24"/>
  <c r="AQ713" i="24"/>
  <c r="AQ714" i="24"/>
  <c r="AQ715" i="24"/>
  <c r="AQ716" i="24"/>
  <c r="AQ717" i="24"/>
  <c r="AQ718" i="24"/>
  <c r="AQ719" i="24"/>
  <c r="AQ720" i="24"/>
  <c r="AQ721" i="24"/>
  <c r="AQ722" i="24"/>
  <c r="AQ723" i="24"/>
  <c r="AQ724" i="24"/>
  <c r="AQ725" i="24"/>
  <c r="AQ726" i="24"/>
  <c r="AQ727" i="24"/>
  <c r="AQ728" i="24"/>
  <c r="AQ729" i="24"/>
  <c r="AQ730" i="24"/>
  <c r="AQ731" i="24"/>
  <c r="AQ732" i="24"/>
  <c r="AQ733" i="24"/>
  <c r="AQ734" i="24"/>
  <c r="AQ735" i="24"/>
  <c r="AQ736" i="24"/>
  <c r="AQ737" i="24"/>
  <c r="AQ738" i="24"/>
  <c r="AQ739" i="24"/>
  <c r="AQ740" i="24"/>
  <c r="AQ741" i="24"/>
  <c r="AQ742" i="24"/>
  <c r="AQ743" i="24"/>
  <c r="AQ744" i="24"/>
  <c r="AQ745" i="24"/>
  <c r="AQ746" i="24"/>
  <c r="AQ747" i="24"/>
  <c r="AQ748" i="24"/>
  <c r="AQ749" i="24"/>
  <c r="AQ750" i="24"/>
  <c r="AQ751" i="24"/>
  <c r="AQ752" i="24"/>
  <c r="AQ753" i="24"/>
  <c r="AQ754" i="24"/>
  <c r="AQ755" i="24"/>
  <c r="AQ756" i="24"/>
  <c r="AQ757" i="24"/>
  <c r="AQ758" i="24"/>
  <c r="AQ759" i="24"/>
  <c r="AQ760" i="24"/>
  <c r="AQ761" i="24"/>
  <c r="AQ762" i="24"/>
  <c r="AQ763" i="24"/>
  <c r="AQ764" i="24"/>
  <c r="AQ765" i="24"/>
  <c r="AQ766" i="24"/>
  <c r="AQ767" i="24"/>
  <c r="AQ768" i="24"/>
  <c r="AQ769" i="24"/>
  <c r="AQ770" i="24"/>
  <c r="AQ771" i="24"/>
  <c r="AQ772" i="24"/>
  <c r="AQ773" i="24"/>
  <c r="AQ774" i="24"/>
  <c r="AQ775" i="24"/>
  <c r="AQ776" i="24"/>
  <c r="AQ777" i="24"/>
  <c r="AQ778" i="24"/>
  <c r="AQ779" i="24"/>
  <c r="AQ780" i="24"/>
  <c r="AQ781" i="24"/>
  <c r="AQ782" i="24"/>
  <c r="AQ783" i="24"/>
  <c r="AQ784" i="24"/>
  <c r="AQ785" i="24"/>
  <c r="AQ786" i="24"/>
  <c r="AQ787" i="24"/>
  <c r="AQ788" i="24"/>
  <c r="AQ789" i="24"/>
  <c r="AQ790" i="24"/>
  <c r="AQ791" i="24"/>
  <c r="AQ792" i="24"/>
  <c r="AQ793" i="24"/>
  <c r="AQ794" i="24"/>
  <c r="AQ795" i="24"/>
  <c r="AQ796" i="24"/>
  <c r="AQ797" i="24"/>
  <c r="AQ798" i="24"/>
  <c r="AQ799" i="24"/>
  <c r="AQ800" i="24"/>
  <c r="AQ801" i="24"/>
  <c r="AQ802" i="24"/>
  <c r="AQ803" i="24"/>
  <c r="AQ804" i="24"/>
  <c r="AQ805" i="24"/>
  <c r="AQ806" i="24"/>
  <c r="AQ807" i="24"/>
  <c r="AQ808" i="24"/>
  <c r="AQ809" i="24"/>
  <c r="AQ810" i="24"/>
  <c r="AQ811" i="24"/>
  <c r="AQ812" i="24"/>
  <c r="AQ813" i="24"/>
  <c r="AQ814" i="24"/>
  <c r="AQ815" i="24"/>
  <c r="AQ816" i="24"/>
  <c r="AQ817" i="24"/>
  <c r="AQ818" i="24"/>
  <c r="AQ819" i="24"/>
  <c r="AQ820" i="24"/>
  <c r="AQ821" i="24"/>
  <c r="AQ822" i="24"/>
  <c r="AQ823" i="24"/>
  <c r="AQ824" i="24"/>
  <c r="AQ825" i="24"/>
  <c r="AQ826" i="24"/>
  <c r="AQ827" i="24"/>
  <c r="AQ828" i="24"/>
  <c r="AQ829" i="24"/>
  <c r="AQ830" i="24"/>
  <c r="AQ831" i="24"/>
  <c r="AQ832" i="24"/>
  <c r="AQ833" i="24"/>
  <c r="AQ834" i="24"/>
  <c r="AQ835" i="24"/>
  <c r="AQ836" i="24"/>
  <c r="AQ837" i="24"/>
  <c r="AQ838" i="24"/>
  <c r="AQ839" i="24"/>
  <c r="AQ840" i="24"/>
  <c r="AQ841" i="24"/>
  <c r="AQ842" i="24"/>
  <c r="AQ843" i="24"/>
  <c r="AQ844" i="24"/>
  <c r="AQ845" i="24"/>
  <c r="AQ846" i="24"/>
  <c r="AQ847" i="24"/>
  <c r="AQ848" i="24"/>
  <c r="AQ849" i="24"/>
  <c r="AQ850" i="24"/>
  <c r="AQ851" i="24"/>
  <c r="AQ852" i="24"/>
  <c r="AQ853" i="24"/>
  <c r="AQ854" i="24"/>
  <c r="AQ855" i="24"/>
  <c r="AQ856" i="24"/>
  <c r="AQ857" i="24"/>
  <c r="AQ858" i="24"/>
  <c r="AQ859" i="24"/>
  <c r="AQ860" i="24"/>
  <c r="AQ861" i="24"/>
  <c r="AQ862" i="24"/>
  <c r="AQ863" i="24"/>
  <c r="AQ864" i="24"/>
  <c r="AQ865" i="24"/>
  <c r="AQ866" i="24"/>
  <c r="AQ867" i="24"/>
  <c r="AQ868" i="24"/>
  <c r="AQ869" i="24"/>
  <c r="AQ870" i="24"/>
  <c r="AQ871" i="24"/>
  <c r="AQ872" i="24"/>
  <c r="AQ873" i="24"/>
  <c r="AQ874" i="24"/>
  <c r="AQ875" i="24"/>
  <c r="AQ876" i="24"/>
  <c r="AQ877" i="24"/>
  <c r="AQ878" i="24"/>
  <c r="AQ879" i="24"/>
  <c r="AQ880" i="24"/>
  <c r="AQ881" i="24"/>
  <c r="AQ882" i="24"/>
  <c r="AQ883" i="24"/>
  <c r="AQ884" i="24"/>
  <c r="AQ885" i="24"/>
  <c r="AQ886" i="24"/>
  <c r="AQ887" i="24"/>
  <c r="AQ888" i="24"/>
  <c r="AQ889" i="24"/>
  <c r="AQ890" i="24"/>
  <c r="AQ891" i="24"/>
  <c r="AQ892" i="24"/>
  <c r="AQ893" i="24"/>
  <c r="AQ894" i="24"/>
  <c r="AQ895" i="24"/>
  <c r="AQ896" i="24"/>
  <c r="AQ897" i="24"/>
  <c r="AQ898" i="24"/>
  <c r="AQ899" i="24"/>
  <c r="AQ900" i="24"/>
  <c r="AQ901" i="24"/>
  <c r="AQ902" i="24"/>
  <c r="AQ903" i="24"/>
  <c r="AQ904" i="24"/>
  <c r="AQ905" i="24"/>
  <c r="AQ906" i="24"/>
  <c r="AQ907" i="24"/>
  <c r="AQ908" i="24"/>
  <c r="AQ909" i="24"/>
  <c r="AQ910" i="24"/>
  <c r="AQ911" i="24"/>
  <c r="AQ912" i="24"/>
  <c r="AQ913" i="24"/>
  <c r="AQ914" i="24"/>
  <c r="AQ915" i="24"/>
  <c r="AQ916" i="24"/>
  <c r="AQ917" i="24"/>
  <c r="AQ918" i="24"/>
  <c r="AQ919" i="24"/>
  <c r="AQ920" i="24"/>
  <c r="AQ921" i="24"/>
  <c r="AQ922" i="24"/>
  <c r="AQ923" i="24"/>
  <c r="AQ924" i="24"/>
  <c r="AQ925" i="24"/>
  <c r="AQ926" i="24"/>
  <c r="AQ927" i="24"/>
  <c r="AQ928" i="24"/>
  <c r="AQ929" i="24"/>
  <c r="AQ930" i="24"/>
  <c r="AQ931" i="24"/>
  <c r="AQ932" i="24"/>
  <c r="AQ933" i="24"/>
  <c r="AQ934" i="24"/>
  <c r="AQ935" i="24"/>
  <c r="AQ936" i="24"/>
  <c r="AQ937" i="24"/>
  <c r="AQ938" i="24"/>
  <c r="AQ939" i="24"/>
  <c r="AQ940" i="24"/>
  <c r="AQ941" i="24"/>
  <c r="AQ942" i="24"/>
  <c r="AQ943" i="24"/>
  <c r="AQ944" i="24"/>
  <c r="AQ945" i="24"/>
  <c r="AQ946" i="24"/>
  <c r="AQ947" i="24"/>
  <c r="AQ948" i="24"/>
  <c r="AQ949" i="24"/>
  <c r="AQ950" i="24"/>
  <c r="AQ951" i="24"/>
  <c r="AQ952" i="24"/>
  <c r="AQ953" i="24"/>
  <c r="AQ954" i="24"/>
  <c r="AQ955" i="24"/>
  <c r="AQ956" i="24"/>
  <c r="AQ957" i="24"/>
  <c r="AQ958" i="24"/>
  <c r="AQ959" i="24"/>
  <c r="AQ960" i="24"/>
  <c r="AQ961" i="24"/>
  <c r="AQ962" i="24"/>
  <c r="AQ963" i="24"/>
  <c r="AQ964" i="24"/>
  <c r="AQ965" i="24"/>
  <c r="AQ966" i="24"/>
  <c r="AQ967" i="24"/>
  <c r="AQ968" i="24"/>
  <c r="AQ969" i="24"/>
  <c r="AQ970" i="24"/>
  <c r="AQ971" i="24"/>
  <c r="AQ972" i="24"/>
  <c r="AQ973" i="24"/>
  <c r="AQ974" i="24"/>
  <c r="AQ975" i="24"/>
  <c r="AQ976" i="24"/>
  <c r="AQ977" i="24"/>
  <c r="AQ978" i="24"/>
  <c r="AQ979" i="24"/>
  <c r="AQ980" i="24"/>
  <c r="AQ981" i="24"/>
  <c r="AQ982" i="24"/>
  <c r="AQ983" i="24"/>
  <c r="AQ984" i="24"/>
  <c r="AQ985" i="24"/>
  <c r="AQ986" i="24"/>
  <c r="AQ987" i="24"/>
  <c r="AQ988" i="24"/>
  <c r="AQ989" i="24"/>
  <c r="AQ990" i="24"/>
  <c r="AQ991" i="24"/>
  <c r="AQ992" i="24"/>
  <c r="AQ993" i="24"/>
  <c r="AQ994" i="24"/>
  <c r="AQ995" i="24"/>
  <c r="AQ996" i="24"/>
  <c r="AQ997" i="24"/>
  <c r="AQ998" i="24"/>
  <c r="AQ7" i="24"/>
  <c r="AQ8" i="24"/>
  <c r="AQ9" i="24"/>
  <c r="AQ10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Q84" i="24"/>
  <c r="AQ85" i="24"/>
  <c r="AQ86" i="24"/>
  <c r="AQ87" i="24"/>
  <c r="AQ88" i="24"/>
  <c r="AQ89" i="24"/>
  <c r="AQ90" i="24"/>
  <c r="AQ91" i="24"/>
  <c r="AQ92" i="24"/>
  <c r="AQ93" i="24"/>
  <c r="AQ94" i="24"/>
  <c r="AQ95" i="24"/>
  <c r="AQ96" i="24"/>
  <c r="AQ97" i="24"/>
  <c r="AQ98" i="24"/>
  <c r="AQ99" i="24"/>
  <c r="AQ100" i="24"/>
  <c r="AQ101" i="24"/>
  <c r="AQ102" i="24"/>
  <c r="AQ103" i="24"/>
  <c r="AQ104" i="24"/>
  <c r="AQ105" i="24"/>
  <c r="AQ106" i="24"/>
  <c r="AQ107" i="24"/>
  <c r="AQ108" i="24"/>
  <c r="AQ109" i="24"/>
  <c r="AQ110" i="24"/>
  <c r="AQ111" i="24"/>
  <c r="AQ112" i="24"/>
  <c r="AQ113" i="24"/>
  <c r="AQ114" i="24"/>
  <c r="AQ115" i="24"/>
  <c r="AQ116" i="24"/>
  <c r="AQ117" i="24"/>
  <c r="AQ118" i="24"/>
  <c r="AQ119" i="24"/>
  <c r="AQ120" i="24"/>
  <c r="AQ121" i="24"/>
  <c r="AQ122" i="24"/>
  <c r="AQ123" i="24"/>
  <c r="AQ124" i="24"/>
  <c r="AQ125" i="24"/>
  <c r="AQ126" i="24"/>
  <c r="AQ127" i="24"/>
  <c r="AQ128" i="24"/>
  <c r="AQ129" i="24"/>
  <c r="AQ130" i="24"/>
  <c r="AQ131" i="24"/>
  <c r="AQ132" i="24"/>
  <c r="AQ133" i="24"/>
  <c r="AQ134" i="24"/>
  <c r="AQ135" i="24"/>
  <c r="AQ136" i="24"/>
  <c r="AQ137" i="24"/>
  <c r="AQ138" i="24"/>
  <c r="AQ139" i="24"/>
  <c r="AQ140" i="24"/>
  <c r="AQ141" i="24"/>
  <c r="AQ142" i="24"/>
  <c r="AQ143" i="24"/>
  <c r="AQ144" i="24"/>
  <c r="AQ145" i="24"/>
  <c r="AQ146" i="24"/>
  <c r="AQ147" i="24"/>
  <c r="AQ148" i="24"/>
  <c r="AQ149" i="24"/>
  <c r="AQ150" i="24"/>
  <c r="AQ151" i="24"/>
  <c r="AQ152" i="24"/>
  <c r="AQ153" i="24"/>
  <c r="AQ154" i="24"/>
  <c r="AQ155" i="24"/>
  <c r="AQ156" i="24"/>
  <c r="AQ157" i="24"/>
  <c r="AQ158" i="24"/>
  <c r="AQ159" i="24"/>
  <c r="AQ160" i="24"/>
  <c r="AQ161" i="24"/>
  <c r="AQ162" i="24"/>
  <c r="AQ163" i="24"/>
  <c r="AQ164" i="24"/>
  <c r="AQ165" i="24"/>
  <c r="AQ166" i="24"/>
  <c r="AQ167" i="24"/>
  <c r="AQ168" i="24"/>
  <c r="AQ169" i="24"/>
  <c r="AQ170" i="24"/>
  <c r="AQ171" i="24"/>
  <c r="AQ172" i="24"/>
  <c r="AQ173" i="24"/>
  <c r="AQ174" i="24"/>
  <c r="AQ175" i="24"/>
  <c r="AQ176" i="24"/>
  <c r="AQ177" i="24"/>
  <c r="AQ178" i="24"/>
  <c r="AQ179" i="24"/>
  <c r="AQ180" i="24"/>
  <c r="AQ181" i="24"/>
  <c r="AQ182" i="24"/>
  <c r="AQ183" i="24"/>
  <c r="AQ184" i="24"/>
  <c r="AQ185" i="24"/>
  <c r="AQ186" i="24"/>
  <c r="AQ187" i="24"/>
  <c r="AQ188" i="24"/>
  <c r="AQ189" i="24"/>
  <c r="AQ190" i="24"/>
  <c r="AQ191" i="24"/>
  <c r="AQ192" i="24"/>
  <c r="AQ193" i="24"/>
  <c r="AQ194" i="24"/>
  <c r="AQ195" i="24"/>
  <c r="AQ196" i="24"/>
  <c r="AQ197" i="24"/>
  <c r="AQ198" i="24"/>
  <c r="AQ199" i="24"/>
  <c r="AQ200" i="24"/>
  <c r="AQ201" i="24"/>
  <c r="AQ202" i="24"/>
  <c r="AQ203" i="24"/>
  <c r="AQ204" i="24"/>
  <c r="AQ205" i="24"/>
  <c r="AQ206" i="24"/>
  <c r="AQ207" i="24"/>
  <c r="AQ208" i="24"/>
  <c r="AQ209" i="24"/>
  <c r="AQ210" i="24"/>
  <c r="AQ211" i="24"/>
  <c r="AQ212" i="24"/>
  <c r="AQ213" i="24"/>
  <c r="AQ214" i="24"/>
  <c r="AQ215" i="24"/>
  <c r="AQ216" i="24"/>
  <c r="AQ217" i="24"/>
  <c r="AQ218" i="24"/>
  <c r="AQ219" i="24"/>
  <c r="AQ220" i="24"/>
  <c r="AQ221" i="24"/>
  <c r="AQ222" i="24"/>
  <c r="AQ223" i="24"/>
  <c r="AQ224" i="24"/>
  <c r="AQ225" i="24"/>
  <c r="AQ226" i="24"/>
  <c r="AQ227" i="24"/>
  <c r="AQ228" i="24"/>
  <c r="AQ229" i="24"/>
  <c r="AQ230" i="24"/>
  <c r="AQ231" i="24"/>
  <c r="AQ232" i="24"/>
  <c r="AQ233" i="24"/>
  <c r="AQ234" i="24"/>
  <c r="AQ235" i="24"/>
  <c r="AQ236" i="24"/>
  <c r="AQ237" i="24"/>
  <c r="AQ238" i="24"/>
  <c r="AQ239" i="24"/>
  <c r="AQ240" i="24"/>
  <c r="AQ241" i="24"/>
  <c r="AQ242" i="24"/>
  <c r="AQ243" i="24"/>
  <c r="AQ244" i="24"/>
  <c r="AQ245" i="24"/>
  <c r="AQ246" i="24"/>
  <c r="AQ247" i="24"/>
  <c r="AQ248" i="24"/>
  <c r="AQ249" i="24"/>
  <c r="AQ250" i="24"/>
  <c r="AS6" i="24"/>
  <c r="E2" i="28" a="1"/>
  <c r="E2" i="28" s="1"/>
  <c r="D2" i="28" a="1"/>
  <c r="D2" i="28" s="1"/>
  <c r="AQ251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<sst xmlns="http://schemas.openxmlformats.org/spreadsheetml/2006/main" count="1139" uniqueCount="795">
  <si>
    <t>Project Name:</t>
  </si>
  <si>
    <t>A</t>
  </si>
  <si>
    <t>Location ?</t>
  </si>
  <si>
    <t>E</t>
  </si>
  <si>
    <t>Project #:</t>
  </si>
  <si>
    <t>Material Handling Tracking</t>
  </si>
  <si>
    <t>B</t>
  </si>
  <si>
    <t>F</t>
  </si>
  <si>
    <t xml:space="preserve">Date: </t>
  </si>
  <si>
    <t>C</t>
  </si>
  <si>
    <t>G</t>
  </si>
  <si>
    <t>Inspector:</t>
  </si>
  <si>
    <t>D</t>
  </si>
  <si>
    <t>H</t>
  </si>
  <si>
    <t>Item</t>
  </si>
  <si>
    <t>QTY-Ordered</t>
  </si>
  <si>
    <t>Size (Inches)</t>
  </si>
  <si>
    <t>Material Description</t>
  </si>
  <si>
    <t>Wall / SDR</t>
  </si>
  <si>
    <t>Grade</t>
  </si>
  <si>
    <t>Material Type</t>
  </si>
  <si>
    <t>Manufacturer</t>
  </si>
  <si>
    <t>Model Number</t>
  </si>
  <si>
    <t>Serial / Lot / Heat #</t>
  </si>
  <si>
    <t>ANSI / Pressure Rating</t>
  </si>
  <si>
    <t>UOM (Each/Ft)</t>
  </si>
  <si>
    <t>QTY-Received</t>
  </si>
  <si>
    <t>Difference</t>
  </si>
  <si>
    <t>Location (A,B,C)</t>
  </si>
  <si>
    <t>MTR (Y/N)</t>
  </si>
  <si>
    <t>Matches IFC (Y/N)</t>
  </si>
  <si>
    <t>QTY-Used</t>
  </si>
  <si>
    <t>Remaining Material</t>
  </si>
  <si>
    <t>Damaged Materials</t>
  </si>
  <si>
    <t>Notes/Remarks</t>
  </si>
  <si>
    <t>Weld Fittings</t>
  </si>
  <si>
    <t>Anodeless Risers</t>
  </si>
  <si>
    <t>Anodes</t>
  </si>
  <si>
    <t>Ball Valves - Steel</t>
  </si>
  <si>
    <t>Butt Fusion</t>
  </si>
  <si>
    <t>Carbon Steel Flanges</t>
  </si>
  <si>
    <t>Casing Seal</t>
  </si>
  <si>
    <t>Cast Iron-Bell Joint</t>
  </si>
  <si>
    <t>Check Valves</t>
  </si>
  <si>
    <t>Chromatograph</t>
  </si>
  <si>
    <t>Closures - Pipe Door</t>
  </si>
  <si>
    <t>Closures - Threaded</t>
  </si>
  <si>
    <t>Cold Shrink Sleeve</t>
  </si>
  <si>
    <t>Composite Wraps</t>
  </si>
  <si>
    <t>Compression Tape</t>
  </si>
  <si>
    <t>Diaphragm Meters</t>
  </si>
  <si>
    <t>Electrofusion</t>
  </si>
  <si>
    <t>Electrofusion Processors</t>
  </si>
  <si>
    <t>Excess Flow Valves</t>
  </si>
  <si>
    <t>Eye Protection</t>
  </si>
  <si>
    <t>Fasteners</t>
  </si>
  <si>
    <t>Filters  Separators</t>
  </si>
  <si>
    <t>Flange Gaskets</t>
  </si>
  <si>
    <t>Flex Appliance Connector</t>
  </si>
  <si>
    <t>Flow Conditioners</t>
  </si>
  <si>
    <t>Forged Steel Fittings</t>
  </si>
  <si>
    <t>Gate Valves</t>
  </si>
  <si>
    <t>H2S Monitor</t>
  </si>
  <si>
    <t>Hard Hats</t>
  </si>
  <si>
    <t>High Volume Tap Tees</t>
  </si>
  <si>
    <t>Hose</t>
  </si>
  <si>
    <t>Instrument Valves</t>
  </si>
  <si>
    <t>Insulators - Flange</t>
  </si>
  <si>
    <t>Leak Detect, Line Locator</t>
  </si>
  <si>
    <t>Malleables</t>
  </si>
  <si>
    <t>Mechanical</t>
  </si>
  <si>
    <t>Mechanical Sleeves</t>
  </si>
  <si>
    <t>Meter Stop Valves</t>
  </si>
  <si>
    <t>Moisture Analyzer</t>
  </si>
  <si>
    <t>Nipples</t>
  </si>
  <si>
    <t>Olets</t>
  </si>
  <si>
    <t>Orifice Meters</t>
  </si>
  <si>
    <t>Paint</t>
  </si>
  <si>
    <t>Pipeline Backfill Protection</t>
  </si>
  <si>
    <t>Plastic to Steel</t>
  </si>
  <si>
    <t>3M</t>
  </si>
  <si>
    <t>Plastic Valves</t>
  </si>
  <si>
    <t>A. Y. McDonald</t>
  </si>
  <si>
    <t>Plug Valves</t>
  </si>
  <si>
    <t>Advance Engineering Corporation (Hubbell)</t>
  </si>
  <si>
    <t>Polyethylene Pipe</t>
  </si>
  <si>
    <t>Advance Products &amp; Systems</t>
  </si>
  <si>
    <t>Pre-Fab Comm Meter Sets</t>
  </si>
  <si>
    <t>AFGlobal (Coffer)</t>
  </si>
  <si>
    <t>Pre-fab Multi-meter Manis</t>
  </si>
  <si>
    <t>AkzoNobel</t>
  </si>
  <si>
    <t>Pre-fab Regulator Sets</t>
  </si>
  <si>
    <t>Allan Edwards</t>
  </si>
  <si>
    <t>Pre-Fab Resi Meter Sets</t>
  </si>
  <si>
    <t>Allied Corrosion</t>
  </si>
  <si>
    <t>Pressure Gauges</t>
  </si>
  <si>
    <t>Alloy Products Distribution</t>
  </si>
  <si>
    <t>Regulators</t>
  </si>
  <si>
    <t>American BOA</t>
  </si>
  <si>
    <t>Rotary Meters</t>
  </si>
  <si>
    <t>American Steel</t>
  </si>
  <si>
    <t>Samplers</t>
  </si>
  <si>
    <t>Ampro</t>
  </si>
  <si>
    <t>Ser. Tee - Steel to Steel</t>
  </si>
  <si>
    <t>Anderson Greenwood</t>
  </si>
  <si>
    <t>Steel Pipe</t>
  </si>
  <si>
    <t>Anvil (ASC Engineered Solutions)</t>
  </si>
  <si>
    <t>Steel Pipe Coatings</t>
  </si>
  <si>
    <t>AOSafety</t>
  </si>
  <si>
    <t>Steel Repair Clamp</t>
  </si>
  <si>
    <t>Apollo Engineering</t>
  </si>
  <si>
    <t>Strainers (T and Y)</t>
  </si>
  <si>
    <t>Applied Automation Controls Inc.</t>
  </si>
  <si>
    <t>Strainers and Filters</t>
  </si>
  <si>
    <t>Armorcast</t>
  </si>
  <si>
    <t>Swage Nipples</t>
  </si>
  <si>
    <t>Ashcroft</t>
  </si>
  <si>
    <t>Tap Tee - PE to PE</t>
  </si>
  <si>
    <t>Axalta</t>
  </si>
  <si>
    <t>Tap Tee - Steel to PE</t>
  </si>
  <si>
    <t>Axis Pipe and Tube</t>
  </si>
  <si>
    <t>Tap Tees</t>
  </si>
  <si>
    <t>Balon</t>
  </si>
  <si>
    <t>Thread Seal Compound</t>
  </si>
  <si>
    <t>Belgas</t>
  </si>
  <si>
    <t>Tracer Wire  Connectors</t>
  </si>
  <si>
    <t>Benteler Steel Tube</t>
  </si>
  <si>
    <t>Transition</t>
  </si>
  <si>
    <t>Berg Steel Pipe Corp</t>
  </si>
  <si>
    <t>Turbine Meters</t>
  </si>
  <si>
    <t>Bettis</t>
  </si>
  <si>
    <t>Ultrasonics</t>
  </si>
  <si>
    <t>Billco</t>
  </si>
  <si>
    <t>Valve Actuator Comp</t>
  </si>
  <si>
    <t>Bingham and Taylor</t>
  </si>
  <si>
    <t>Valve Actuator Main Line</t>
  </si>
  <si>
    <t>Bird Equipment</t>
  </si>
  <si>
    <t>Valve Box</t>
  </si>
  <si>
    <t>Boltex</t>
  </si>
  <si>
    <t>Valve Sealants</t>
  </si>
  <si>
    <t>Bonney Forge</t>
  </si>
  <si>
    <t>Wax Tape and Primer</t>
  </si>
  <si>
    <t>Borusan  Mannesmann</t>
  </si>
  <si>
    <t>Broen</t>
  </si>
  <si>
    <t>Weld Line Stoppers</t>
  </si>
  <si>
    <t>California Steel Industries (CSI)</t>
  </si>
  <si>
    <t>Weld Reinforcing Fittings</t>
  </si>
  <si>
    <t>Cameron</t>
  </si>
  <si>
    <t>Weld Sleeves</t>
  </si>
  <si>
    <t>Canada Pipeline Accessories</t>
  </si>
  <si>
    <t>Canalta Controls</t>
  </si>
  <si>
    <t>Capitol Manufacturing</t>
  </si>
  <si>
    <t>Carboline</t>
  </si>
  <si>
    <t>Central</t>
  </si>
  <si>
    <t>Chandler Engineering</t>
  </si>
  <si>
    <t>Charter Plastics</t>
  </si>
  <si>
    <t>Consolidated Pipe &amp; Supply</t>
  </si>
  <si>
    <t>Continental Industries</t>
  </si>
  <si>
    <t>Corrpro</t>
  </si>
  <si>
    <t>Crane</t>
  </si>
  <si>
    <t>CSNRI (formerly Clock Spring &amp; Neptune Research)</t>
  </si>
  <si>
    <t>Custom Alloy</t>
  </si>
  <si>
    <t>Daeyoun (sold as Broen or MTD)</t>
  </si>
  <si>
    <t>Daniel Measurement and Control</t>
  </si>
  <si>
    <t>Dan-Loc Group</t>
  </si>
  <si>
    <t>Del Mar Scientific</t>
  </si>
  <si>
    <t>Denso</t>
  </si>
  <si>
    <t>Dormont</t>
  </si>
  <si>
    <t>Dresser (Blackhawk)</t>
  </si>
  <si>
    <t>Dresser Natural Gas Solutions</t>
  </si>
  <si>
    <t>Dresser Utility Solutions</t>
  </si>
  <si>
    <t>Dura-Bond Steel</t>
  </si>
  <si>
    <t>Duron</t>
  </si>
  <si>
    <t>Dynamic Products</t>
  </si>
  <si>
    <t>Elster American Meter</t>
  </si>
  <si>
    <t>Energy Economics, Inc</t>
  </si>
  <si>
    <t>Federal Flange</t>
  </si>
  <si>
    <t>Field Q</t>
  </si>
  <si>
    <t>Fisher (Emerson)</t>
  </si>
  <si>
    <t>Flexitallic</t>
  </si>
  <si>
    <t>Flow Safe</t>
  </si>
  <si>
    <t>Flowserve</t>
  </si>
  <si>
    <t>Friatec</t>
  </si>
  <si>
    <t>Friatec (Frialen)</t>
  </si>
  <si>
    <t>Galperti Inc.</t>
  </si>
  <si>
    <t>Garlock</t>
  </si>
  <si>
    <t>Gasbreaker (Hubbell)</t>
  </si>
  <si>
    <t>Gasket Resources</t>
  </si>
  <si>
    <t>Georg Fischer Central Plastics</t>
  </si>
  <si>
    <t>Green Country</t>
  </si>
  <si>
    <t>Grove</t>
  </si>
  <si>
    <t>GTG Engineering</t>
  </si>
  <si>
    <t>Hackney</t>
  </si>
  <si>
    <t>Handley Industries</t>
  </si>
  <si>
    <t>Harco</t>
  </si>
  <si>
    <t>Heath</t>
  </si>
  <si>
    <t>Heise</t>
  </si>
  <si>
    <t>Highland Threads</t>
  </si>
  <si>
    <t>Honeywell (Perfection)</t>
  </si>
  <si>
    <t>Industrial Fabrics - Rock Guard</t>
  </si>
  <si>
    <t>Innogaz (Kerotest)</t>
  </si>
  <si>
    <t>Itron Inc.</t>
  </si>
  <si>
    <t>Jamesbury</t>
  </si>
  <si>
    <t>JC Whitlam</t>
  </si>
  <si>
    <t>Jomar Valve</t>
  </si>
  <si>
    <t>Keckley</t>
  </si>
  <si>
    <t>Kerkau Mfg</t>
  </si>
  <si>
    <t>Kerotest Manufacturing</t>
  </si>
  <si>
    <t>Key-Tite</t>
  </si>
  <si>
    <t>KF Valves</t>
  </si>
  <si>
    <t>King Innovation</t>
  </si>
  <si>
    <t>King Tool</t>
  </si>
  <si>
    <t>Kris-Tech Wire</t>
  </si>
  <si>
    <t>LA-CO</t>
  </si>
  <si>
    <t>LoneStar Fasteners</t>
  </si>
  <si>
    <t>M &amp; J Valve</t>
  </si>
  <si>
    <t>M and M Enterprises</t>
  </si>
  <si>
    <t>M.E.G.A.</t>
  </si>
  <si>
    <t>Maloney Technical Products</t>
  </si>
  <si>
    <t>McDaniel Controls, Inc.</t>
  </si>
  <si>
    <t>Michigan Seamless</t>
  </si>
  <si>
    <t>Miller Pipeline</t>
  </si>
  <si>
    <t>Mills Iron Works</t>
  </si>
  <si>
    <t>Mine Safety Appliances Company (MSA)</t>
  </si>
  <si>
    <t>Modco (NOV)</t>
  </si>
  <si>
    <t>Mokveld</t>
  </si>
  <si>
    <t>Mooney (Baker Hughes)</t>
  </si>
  <si>
    <t>Morin</t>
  </si>
  <si>
    <t>MT Deason (ISCO)</t>
  </si>
  <si>
    <t>Mueller</t>
  </si>
  <si>
    <t>Mueller Steam Specialty</t>
  </si>
  <si>
    <t>Neptco</t>
  </si>
  <si>
    <t>Nordstrom</t>
  </si>
  <si>
    <t>Nordstrom (FlowServe)</t>
  </si>
  <si>
    <t>Norriseal-Wellmark (ChampionX)</t>
  </si>
  <si>
    <t>Noshok</t>
  </si>
  <si>
    <t>Parker</t>
  </si>
  <si>
    <t>PBV</t>
  </si>
  <si>
    <t>Peerless Mfg. Co.</t>
  </si>
  <si>
    <t>Penn Machine Works</t>
  </si>
  <si>
    <t>Performance Pipe</t>
  </si>
  <si>
    <t>Permabond</t>
  </si>
  <si>
    <t>Perry Equipment Corporation</t>
  </si>
  <si>
    <t>PGI</t>
  </si>
  <si>
    <t>Pietro Fiorentini</t>
  </si>
  <si>
    <t>Pipeline Equipment</t>
  </si>
  <si>
    <t>Plasson</t>
  </si>
  <si>
    <t>Poly Pipe (formerly Dura-Line)</t>
  </si>
  <si>
    <t>Polyvalve</t>
  </si>
  <si>
    <t>PowerSeal</t>
  </si>
  <si>
    <t>Precision Flow Inc.</t>
  </si>
  <si>
    <t>PSI Products</t>
  </si>
  <si>
    <t>Rectorseal</t>
  </si>
  <si>
    <t>Republic Wire</t>
  </si>
  <si>
    <t>Romet</t>
  </si>
  <si>
    <t>Rotork</t>
  </si>
  <si>
    <t>Royston</t>
  </si>
  <si>
    <t>Rub</t>
  </si>
  <si>
    <t>RW Lyall</t>
  </si>
  <si>
    <t>RW Lyall (Hubble)</t>
  </si>
  <si>
    <t>Salzgitter Mannesmann (Germany)</t>
  </si>
  <si>
    <t>Savant Measurement Corporation</t>
  </si>
  <si>
    <t>SeAH Steel (Korea)</t>
  </si>
  <si>
    <t>SeAH Steel (USA)</t>
  </si>
  <si>
    <t>SealForLife Industries</t>
  </si>
  <si>
    <t>Sensit</t>
  </si>
  <si>
    <t>Sensus</t>
  </si>
  <si>
    <t>Sherwin Williams</t>
  </si>
  <si>
    <t>Sick Maihak</t>
  </si>
  <si>
    <t>Siderca (Tenaris - Argentina)</t>
  </si>
  <si>
    <t>Skinner Compnay</t>
  </si>
  <si>
    <t>Smith-Blair, Inc.</t>
  </si>
  <si>
    <t>Southwire</t>
  </si>
  <si>
    <t>SpectraSensors</t>
  </si>
  <si>
    <t>Stark Solutions</t>
  </si>
  <si>
    <t>STATS International</t>
  </si>
  <si>
    <t>Steel Forgings</t>
  </si>
  <si>
    <t>Strongwell</t>
  </si>
  <si>
    <t>Stuart Steel</t>
  </si>
  <si>
    <t>Swagelok</t>
  </si>
  <si>
    <t>Tape Coat - TC2025-1 Rock Shield</t>
  </si>
  <si>
    <t>TD Williamson</t>
  </si>
  <si>
    <t>Tectubi</t>
  </si>
  <si>
    <t>Tenaris</t>
  </si>
  <si>
    <t>Tex-Tube Company</t>
  </si>
  <si>
    <t>TFA (Tube Forgings of America)</t>
  </si>
  <si>
    <t>Titan Flow Control</t>
  </si>
  <si>
    <t>TK Valves</t>
  </si>
  <si>
    <t>TomWheatley</t>
  </si>
  <si>
    <t>Trenton</t>
  </si>
  <si>
    <t>Trilad</t>
  </si>
  <si>
    <t>Tuff-N-Nuff - Rock Shield</t>
  </si>
  <si>
    <t>US Gauge (Ametek)</t>
  </si>
  <si>
    <t>US Steel</t>
  </si>
  <si>
    <t>US Valve</t>
  </si>
  <si>
    <t>Vaetrix Engineering</t>
  </si>
  <si>
    <t>Vallourec Star</t>
  </si>
  <si>
    <t>Val-Tex</t>
  </si>
  <si>
    <t>Vortab</t>
  </si>
  <si>
    <t>Ward (ASC Engineered Solutions)</t>
  </si>
  <si>
    <t>Weldbend</t>
  </si>
  <si>
    <t>WeldFit</t>
  </si>
  <si>
    <t>Westbrook Manufacturing</t>
  </si>
  <si>
    <t>WFI International (Bonney Forge)</t>
  </si>
  <si>
    <t>Wheatland Tube</t>
  </si>
  <si>
    <t>Wheatley</t>
  </si>
  <si>
    <t>WIKA</t>
  </si>
  <si>
    <t>Winters Instruments</t>
  </si>
  <si>
    <t>WKM</t>
  </si>
  <si>
    <t>WL Plastics</t>
  </si>
  <si>
    <t>Yale (NOV)</t>
  </si>
  <si>
    <t>YZ Systems</t>
  </si>
  <si>
    <t>Material Delivery &amp; Inventory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</si>
  <si>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Review IFC’s &amp; Scope to identify minimum specifications (WT, Grade, Pressure Rating, MAOP, Design Factor)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</si>
  <si>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Identify Quantities needed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</si>
  <si>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Coordinate with contractor on staging location and support.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</si>
  <si>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Discuss safety protocols for unloading and material handling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</si>
  <si>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Visually inspect material upon arrival for Damage or defects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</si>
  <si>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Retain packing slips, manifest, and MTR’s from delivery personnel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</si>
  <si>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Stage material to allow for easy and safe inventory process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</si>
  <si>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Check delivery against packing list/PO’s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</si>
  <si>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Document discrepancies on packing list: overages, shortages, incorrect material, and damage.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</si>
  <si>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Verify material WT, grade, and specification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</si>
  <si>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Verify MTR’s match information stenciled/stamped on material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</si>
  <si>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Cross-check material specifications with IFC’s (Engineered Drawings.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</si>
  <si>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Clearly write material info (Serial/Heat #, WT, grade, pressure rating) onto the outside of the fitting in visible location with a paint pen or marker.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</si>
  <si>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Conduct QC inspection on materials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</si>
  <si>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Log materials into an inventory system (Spreadsheet)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</si>
  <si>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Report any damage or discrepancies to appropriate company personnel and request direction.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</si>
  <si>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Ensure proper storage conditions for all materials to prevent corrosion, damage, and contamination.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</si>
  <si>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Organize material for easy retrieval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</si>
  <si>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Depending on the magnitude of the project, it is best to separate material based on drawings, location, diameter, grade, WT, etc.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</si>
  <si>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Establish a good communication process with the contractor to coordinate material allocation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</si>
  <si>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Report and resolve material issues with company personnel (backorders, damage, missing materials, non-conforming materials, missing MTR’s)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</si>
  <si>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Maintain an accurate inventory during construction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</si>
  <si>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Incorrect or incomplete deliveries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</si>
  <si>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Ensuring and maintaining proper labeling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</si>
  <si>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Traceability during construction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</si>
  <si>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Communication between contractor and inspection Team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</si>
  <si>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Delivery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</si>
  <si>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Inventory Verification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</si>
  <si>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Preparation for material delivery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</si>
  <si>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Documentation &amp; Record Keeping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</si>
  <si>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Storage &amp; Handling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</si>
  <si>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Communication &amp; Coordination</t>
    </r>
  </si>
  <si>
    <r>
      <t>·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Aptos"/>
        <family val="2"/>
      </rPr>
      <t>Challenges &amp; Troubleshooting</t>
    </r>
  </si>
  <si>
    <r>
      <rPr>
        <sz val="11"/>
        <rFont val="Calibri"/>
        <family val="2"/>
      </rPr>
      <t>Polyethylene Pipe</t>
    </r>
  </si>
  <si>
    <r>
      <rPr>
        <sz val="11"/>
        <rFont val="Calibri"/>
        <family val="2"/>
      </rPr>
      <t>Performance Pipe</t>
    </r>
  </si>
  <si>
    <r>
      <rPr>
        <sz val="11"/>
        <rFont val="Calibri"/>
        <family val="2"/>
      </rPr>
      <t>WL Plastics</t>
    </r>
  </si>
  <si>
    <r>
      <rPr>
        <sz val="11"/>
        <rFont val="Calibri"/>
        <family val="2"/>
      </rPr>
      <t>Poly Pipe (formerly Dura-Line)</t>
    </r>
  </si>
  <si>
    <r>
      <rPr>
        <sz val="11"/>
        <rFont val="Calibri"/>
        <family val="2"/>
      </rPr>
      <t>Charter Plastics</t>
    </r>
  </si>
  <si>
    <r>
      <rPr>
        <sz val="11"/>
        <rFont val="Calibri"/>
        <family val="2"/>
      </rPr>
      <t>Steel Pipe</t>
    </r>
  </si>
  <si>
    <r>
      <rPr>
        <sz val="11"/>
        <rFont val="Calibri"/>
        <family val="2"/>
      </rPr>
      <t>American Steel</t>
    </r>
  </si>
  <si>
    <r>
      <rPr>
        <sz val="11"/>
        <rFont val="Calibri"/>
        <family val="2"/>
      </rPr>
      <t>SeAH Steel (USA)</t>
    </r>
  </si>
  <si>
    <r>
      <rPr>
        <sz val="11"/>
        <rFont val="Calibri"/>
        <family val="2"/>
      </rPr>
      <t>Michigan Seamless</t>
    </r>
  </si>
  <si>
    <r>
      <rPr>
        <sz val="11"/>
        <rFont val="Calibri"/>
        <family val="2"/>
      </rPr>
      <t>Benteler Steel Tube</t>
    </r>
  </si>
  <si>
    <r>
      <rPr>
        <sz val="11"/>
        <rFont val="Calibri"/>
        <family val="2"/>
      </rPr>
      <t>SeAH Steel (Korea)</t>
    </r>
  </si>
  <si>
    <r>
      <rPr>
        <sz val="11"/>
        <rFont val="Calibri"/>
        <family val="2"/>
      </rPr>
      <t>Siderca (Tenaris - Argentina)</t>
    </r>
  </si>
  <si>
    <r>
      <rPr>
        <sz val="11"/>
        <rFont val="Calibri"/>
        <family val="2"/>
      </rPr>
      <t>Salzgitter Mannesmann (Germany)</t>
    </r>
  </si>
  <si>
    <r>
      <rPr>
        <sz val="11"/>
        <rFont val="Calibri"/>
        <family val="2"/>
      </rPr>
      <t>Vallourec Star</t>
    </r>
  </si>
  <si>
    <r>
      <rPr>
        <sz val="11"/>
        <rFont val="Calibri"/>
        <family val="2"/>
      </rPr>
      <t>Borusan  Mannesmann</t>
    </r>
  </si>
  <si>
    <r>
      <rPr>
        <sz val="11"/>
        <rFont val="Calibri"/>
        <family val="2"/>
      </rPr>
      <t>US Steel</t>
    </r>
  </si>
  <si>
    <r>
      <rPr>
        <sz val="11"/>
        <rFont val="Calibri"/>
        <family val="2"/>
      </rPr>
      <t>Tenaris</t>
    </r>
  </si>
  <si>
    <r>
      <rPr>
        <sz val="11"/>
        <rFont val="Calibri"/>
        <family val="2"/>
      </rPr>
      <t>Tex-Tube Company</t>
    </r>
  </si>
  <si>
    <r>
      <rPr>
        <sz val="11"/>
        <rFont val="Calibri"/>
        <family val="2"/>
      </rPr>
      <t>Dura-Bond Steel</t>
    </r>
  </si>
  <si>
    <r>
      <rPr>
        <sz val="11"/>
        <rFont val="Calibri"/>
        <family val="2"/>
      </rPr>
      <t>California Steel Industries (CSI)</t>
    </r>
  </si>
  <si>
    <r>
      <rPr>
        <sz val="11"/>
        <rFont val="Calibri"/>
        <family val="2"/>
      </rPr>
      <t>Berg Steel Pipe Corp</t>
    </r>
  </si>
  <si>
    <r>
      <rPr>
        <sz val="11"/>
        <rFont val="Calibri"/>
        <family val="2"/>
      </rPr>
      <t>Composite Wraps</t>
    </r>
  </si>
  <si>
    <r>
      <rPr>
        <sz val="11"/>
        <rFont val="Calibri"/>
        <family val="2"/>
      </rPr>
      <t>CSNRI (Henkel)</t>
    </r>
  </si>
  <si>
    <r>
      <rPr>
        <sz val="11"/>
        <rFont val="Calibri"/>
        <family val="2"/>
      </rPr>
      <t>TD Williamson</t>
    </r>
  </si>
  <si>
    <r>
      <rPr>
        <sz val="11"/>
        <rFont val="Calibri"/>
        <family val="2"/>
      </rPr>
      <t>Compression Tape</t>
    </r>
  </si>
  <si>
    <r>
      <rPr>
        <sz val="11"/>
        <rFont val="Calibri"/>
        <family val="2"/>
      </rPr>
      <t>GTG Engineering</t>
    </r>
  </si>
  <si>
    <r>
      <rPr>
        <sz val="11"/>
        <rFont val="Calibri"/>
        <family val="2"/>
      </rPr>
      <t>Plug Valves</t>
    </r>
  </si>
  <si>
    <r>
      <rPr>
        <sz val="11"/>
        <rFont val="Calibri"/>
        <family val="2"/>
      </rPr>
      <t>Dresser Utility Solutions</t>
    </r>
  </si>
  <si>
    <r>
      <rPr>
        <sz val="11"/>
        <rFont val="Calibri"/>
        <family val="2"/>
      </rPr>
      <t>Nordstrom (FlowServe)</t>
    </r>
  </si>
  <si>
    <r>
      <rPr>
        <sz val="11"/>
        <rFont val="Calibri"/>
        <family val="2"/>
      </rPr>
      <t>Ball Valves - Steel</t>
    </r>
  </si>
  <si>
    <r>
      <rPr>
        <sz val="11"/>
        <rFont val="Calibri"/>
        <family val="2"/>
      </rPr>
      <t>Cameron</t>
    </r>
  </si>
  <si>
    <r>
      <rPr>
        <sz val="11"/>
        <rFont val="Calibri"/>
        <family val="2"/>
      </rPr>
      <t>Flowserve</t>
    </r>
  </si>
  <si>
    <r>
      <rPr>
        <sz val="11"/>
        <rFont val="Calibri"/>
        <family val="2"/>
      </rPr>
      <t>Balon</t>
    </r>
  </si>
  <si>
    <r>
      <rPr>
        <sz val="11"/>
        <rFont val="Calibri"/>
        <family val="2"/>
      </rPr>
      <t>Kerotest Manufacturing</t>
    </r>
  </si>
  <si>
    <r>
      <rPr>
        <sz val="11"/>
        <rFont val="Calibri"/>
        <family val="2"/>
      </rPr>
      <t>Broen</t>
    </r>
  </si>
  <si>
    <r>
      <rPr>
        <sz val="11"/>
        <rFont val="Calibri"/>
        <family val="2"/>
      </rPr>
      <t>WKM</t>
    </r>
  </si>
  <si>
    <r>
      <rPr>
        <sz val="11"/>
        <rFont val="Calibri"/>
        <family val="2"/>
      </rPr>
      <t>TK Valves</t>
    </r>
  </si>
  <si>
    <r>
      <rPr>
        <sz val="11"/>
        <rFont val="Calibri"/>
        <family val="2"/>
      </rPr>
      <t>PBV</t>
    </r>
  </si>
  <si>
    <r>
      <rPr>
        <sz val="11"/>
        <rFont val="Calibri"/>
        <family val="2"/>
      </rPr>
      <t>KF Valves</t>
    </r>
  </si>
  <si>
    <r>
      <rPr>
        <sz val="11"/>
        <rFont val="Calibri"/>
        <family val="2"/>
      </rPr>
      <t>Jamesbury</t>
    </r>
  </si>
  <si>
    <r>
      <rPr>
        <sz val="11"/>
        <rFont val="Calibri"/>
        <family val="2"/>
      </rPr>
      <t>Grove</t>
    </r>
  </si>
  <si>
    <r>
      <rPr>
        <sz val="11"/>
        <rFont val="Calibri"/>
        <family val="2"/>
      </rPr>
      <t>Plastic Valves</t>
    </r>
  </si>
  <si>
    <r>
      <rPr>
        <sz val="11"/>
        <rFont val="Calibri"/>
        <family val="2"/>
      </rPr>
      <t>Polyvalve</t>
    </r>
  </si>
  <si>
    <r>
      <rPr>
        <sz val="11"/>
        <rFont val="Calibri"/>
        <family val="2"/>
      </rPr>
      <t>Daeyoun (sold as Broen or MTD)</t>
    </r>
  </si>
  <si>
    <r>
      <rPr>
        <sz val="11"/>
        <rFont val="Calibri"/>
        <family val="2"/>
      </rPr>
      <t>RW Lyall (Hubbell)</t>
    </r>
  </si>
  <si>
    <r>
      <rPr>
        <sz val="11"/>
        <rFont val="Calibri"/>
        <family val="2"/>
      </rPr>
      <t>Honeywell (Perfection)</t>
    </r>
  </si>
  <si>
    <r>
      <rPr>
        <sz val="11"/>
        <rFont val="Calibri"/>
        <family val="2"/>
      </rPr>
      <t>Gate Valves</t>
    </r>
  </si>
  <si>
    <r>
      <rPr>
        <sz val="11"/>
        <rFont val="Calibri"/>
        <family val="2"/>
      </rPr>
      <t>Instrument Valves</t>
    </r>
  </si>
  <si>
    <r>
      <rPr>
        <sz val="11"/>
        <rFont val="Calibri"/>
        <family val="2"/>
      </rPr>
      <t>Nutron (Cameron)</t>
    </r>
  </si>
  <si>
    <r>
      <rPr>
        <sz val="11"/>
        <rFont val="Calibri"/>
        <family val="2"/>
      </rPr>
      <t>Quadrant Valve (ASC Engineered Solutions)</t>
    </r>
  </si>
  <si>
    <r>
      <rPr>
        <sz val="11"/>
        <rFont val="Calibri"/>
        <family val="2"/>
      </rPr>
      <t>Navco (Cameron)</t>
    </r>
  </si>
  <si>
    <r>
      <rPr>
        <sz val="11"/>
        <rFont val="Calibri"/>
        <family val="2"/>
      </rPr>
      <t>Swagelok</t>
    </r>
  </si>
  <si>
    <r>
      <rPr>
        <sz val="11"/>
        <rFont val="Calibri"/>
        <family val="2"/>
      </rPr>
      <t>Parker</t>
    </r>
  </si>
  <si>
    <r>
      <rPr>
        <sz val="11"/>
        <rFont val="Calibri"/>
        <family val="2"/>
      </rPr>
      <t>Apollo Products</t>
    </r>
  </si>
  <si>
    <r>
      <rPr>
        <sz val="11"/>
        <rFont val="Calibri"/>
        <family val="2"/>
      </rPr>
      <t>PGI</t>
    </r>
  </si>
  <si>
    <r>
      <rPr>
        <sz val="11"/>
        <rFont val="Calibri"/>
        <family val="2"/>
      </rPr>
      <t>Anderson Greenwood</t>
    </r>
  </si>
  <si>
    <r>
      <rPr>
        <sz val="11"/>
        <rFont val="Calibri"/>
        <family val="2"/>
      </rPr>
      <t>Meter Stop Valves</t>
    </r>
  </si>
  <si>
    <r>
      <rPr>
        <sz val="11"/>
        <rFont val="Calibri"/>
        <family val="2"/>
      </rPr>
      <t>A. Y. McDonald</t>
    </r>
  </si>
  <si>
    <r>
      <rPr>
        <sz val="11"/>
        <rFont val="Calibri"/>
        <family val="2"/>
      </rPr>
      <t>Rub</t>
    </r>
  </si>
  <si>
    <r>
      <rPr>
        <sz val="11"/>
        <rFont val="Calibri"/>
        <family val="2"/>
      </rPr>
      <t>Mueller</t>
    </r>
  </si>
  <si>
    <r>
      <rPr>
        <sz val="11"/>
        <rFont val="Calibri"/>
        <family val="2"/>
      </rPr>
      <t>Jomar Valve</t>
    </r>
  </si>
  <si>
    <r>
      <rPr>
        <sz val="11"/>
        <rFont val="Calibri"/>
        <family val="2"/>
      </rPr>
      <t>Valve Sealants</t>
    </r>
  </si>
  <si>
    <r>
      <rPr>
        <sz val="11"/>
        <rFont val="Calibri"/>
        <family val="2"/>
      </rPr>
      <t>Val-Tex</t>
    </r>
  </si>
  <si>
    <r>
      <rPr>
        <sz val="11"/>
        <rFont val="Calibri"/>
        <family val="2"/>
      </rPr>
      <t>US Valve</t>
    </r>
  </si>
  <si>
    <r>
      <rPr>
        <sz val="11"/>
        <rFont val="Calibri"/>
        <family val="2"/>
      </rPr>
      <t>Nordstrom</t>
    </r>
  </si>
  <si>
    <r>
      <rPr>
        <sz val="11"/>
        <rFont val="Calibri"/>
        <family val="2"/>
      </rPr>
      <t>Valve Box</t>
    </r>
  </si>
  <si>
    <r>
      <rPr>
        <sz val="11"/>
        <rFont val="Calibri"/>
        <family val="2"/>
      </rPr>
      <t>Strongwell</t>
    </r>
  </si>
  <si>
    <r>
      <rPr>
        <sz val="11"/>
        <rFont val="Calibri"/>
        <family val="2"/>
      </rPr>
      <t>Armorcast</t>
    </r>
  </si>
  <si>
    <r>
      <rPr>
        <sz val="11"/>
        <rFont val="Calibri"/>
        <family val="2"/>
      </rPr>
      <t>Continental Industries (Hubbell)</t>
    </r>
  </si>
  <si>
    <r>
      <rPr>
        <sz val="11"/>
        <rFont val="Calibri"/>
        <family val="2"/>
      </rPr>
      <t>Handley Industries</t>
    </r>
  </si>
  <si>
    <r>
      <rPr>
        <sz val="11"/>
        <rFont val="Calibri"/>
        <family val="2"/>
      </rPr>
      <t>Bingham and Taylor</t>
    </r>
  </si>
  <si>
    <r>
      <rPr>
        <sz val="11"/>
        <rFont val="Calibri"/>
        <family val="2"/>
      </rPr>
      <t>Ampro</t>
    </r>
  </si>
  <si>
    <r>
      <rPr>
        <sz val="11"/>
        <rFont val="Calibri"/>
        <family val="2"/>
      </rPr>
      <t>Valve Actuator Main Line</t>
    </r>
  </si>
  <si>
    <r>
      <rPr>
        <sz val="11"/>
        <rFont val="Calibri"/>
        <family val="2"/>
      </rPr>
      <t>Rotork</t>
    </r>
  </si>
  <si>
    <r>
      <rPr>
        <sz val="11"/>
        <rFont val="Calibri"/>
        <family val="2"/>
      </rPr>
      <t>Field Q</t>
    </r>
  </si>
  <si>
    <r>
      <rPr>
        <sz val="11"/>
        <rFont val="Calibri"/>
        <family val="2"/>
      </rPr>
      <t>Bettis</t>
    </r>
  </si>
  <si>
    <r>
      <rPr>
        <sz val="11"/>
        <rFont val="Calibri"/>
        <family val="2"/>
      </rPr>
      <t>Valve Actuator Comp</t>
    </r>
  </si>
  <si>
    <r>
      <rPr>
        <sz val="11"/>
        <rFont val="Calibri"/>
        <family val="2"/>
      </rPr>
      <t>Morin</t>
    </r>
  </si>
  <si>
    <r>
      <rPr>
        <sz val="11"/>
        <rFont val="Calibri"/>
        <family val="2"/>
      </rPr>
      <t>Closures - Pipe Door</t>
    </r>
  </si>
  <si>
    <r>
      <rPr>
        <sz val="11"/>
        <rFont val="Calibri"/>
        <family val="2"/>
      </rPr>
      <t>Pipeline Equipment</t>
    </r>
  </si>
  <si>
    <r>
      <rPr>
        <sz val="11"/>
        <rFont val="Calibri"/>
        <family val="2"/>
      </rPr>
      <t>Closures - Threaded</t>
    </r>
  </si>
  <si>
    <r>
      <rPr>
        <sz val="11"/>
        <rFont val="Calibri"/>
        <family val="2"/>
      </rPr>
      <t>Yale (NOV)</t>
    </r>
  </si>
  <si>
    <r>
      <rPr>
        <sz val="11"/>
        <rFont val="Calibri"/>
        <family val="2"/>
      </rPr>
      <t>Modco (NOV)</t>
    </r>
  </si>
  <si>
    <r>
      <rPr>
        <sz val="11"/>
        <rFont val="Calibri"/>
        <family val="2"/>
      </rPr>
      <t>Stark Solutions</t>
    </r>
  </si>
  <si>
    <r>
      <rPr>
        <sz val="11"/>
        <rFont val="Calibri"/>
        <family val="2"/>
      </rPr>
      <t>Check Valves</t>
    </r>
  </si>
  <si>
    <r>
      <rPr>
        <sz val="11"/>
        <rFont val="Calibri"/>
        <family val="2"/>
      </rPr>
      <t>Daniel Measurement and Control</t>
    </r>
  </si>
  <si>
    <r>
      <rPr>
        <sz val="11"/>
        <rFont val="Calibri"/>
        <family val="2"/>
      </rPr>
      <t>Mokveld</t>
    </r>
  </si>
  <si>
    <r>
      <rPr>
        <sz val="11"/>
        <rFont val="Calibri"/>
        <family val="2"/>
      </rPr>
      <t>Norriseal-Wellmark (ChampionX)</t>
    </r>
  </si>
  <si>
    <r>
      <rPr>
        <sz val="11"/>
        <rFont val="Calibri"/>
        <family val="2"/>
      </rPr>
      <t>Crane</t>
    </r>
  </si>
  <si>
    <r>
      <rPr>
        <sz val="11"/>
        <rFont val="Calibri"/>
        <family val="2"/>
      </rPr>
      <t>Wheatley</t>
    </r>
  </si>
  <si>
    <r>
      <rPr>
        <sz val="11"/>
        <rFont val="Calibri"/>
        <family val="2"/>
      </rPr>
      <t>TomWheatley</t>
    </r>
  </si>
  <si>
    <r>
      <rPr>
        <sz val="11"/>
        <rFont val="Calibri"/>
        <family val="2"/>
      </rPr>
      <t>M &amp; J Valve</t>
    </r>
  </si>
  <si>
    <r>
      <rPr>
        <sz val="11"/>
        <rFont val="Calibri"/>
        <family val="2"/>
      </rPr>
      <t>Carbon Steel Flanges</t>
    </r>
  </si>
  <si>
    <r>
      <rPr>
        <sz val="11"/>
        <rFont val="Calibri"/>
        <family val="2"/>
      </rPr>
      <t>Coffer (AFGlobal)</t>
    </r>
  </si>
  <si>
    <r>
      <rPr>
        <sz val="11"/>
        <rFont val="Calibri"/>
        <family val="2"/>
      </rPr>
      <t>Trilad (Allied Group)</t>
    </r>
  </si>
  <si>
    <r>
      <rPr>
        <sz val="11"/>
        <rFont val="Calibri"/>
        <family val="2"/>
      </rPr>
      <t>DL Flange (Allied Group)</t>
    </r>
  </si>
  <si>
    <r>
      <rPr>
        <sz val="11"/>
        <rFont val="Calibri"/>
        <family val="2"/>
      </rPr>
      <t>Weldbend</t>
    </r>
  </si>
  <si>
    <r>
      <rPr>
        <sz val="11"/>
        <rFont val="Calibri"/>
        <family val="2"/>
      </rPr>
      <t>Federal Flange</t>
    </r>
  </si>
  <si>
    <r>
      <rPr>
        <sz val="11"/>
        <rFont val="Calibri"/>
        <family val="2"/>
      </rPr>
      <t>Boltex</t>
    </r>
  </si>
  <si>
    <r>
      <rPr>
        <sz val="11"/>
        <rFont val="Calibri"/>
        <family val="2"/>
      </rPr>
      <t>Kerkau Mfg</t>
    </r>
  </si>
  <si>
    <r>
      <rPr>
        <sz val="11"/>
        <rFont val="Calibri"/>
        <family val="2"/>
      </rPr>
      <t>Galperti Inc.</t>
    </r>
  </si>
  <si>
    <r>
      <rPr>
        <sz val="11"/>
        <rFont val="Calibri"/>
        <family val="2"/>
      </rPr>
      <t>Flange Gaskets</t>
    </r>
  </si>
  <si>
    <r>
      <rPr>
        <sz val="11"/>
        <rFont val="Calibri"/>
        <family val="2"/>
      </rPr>
      <t>Flexitallic</t>
    </r>
  </si>
  <si>
    <r>
      <rPr>
        <sz val="11"/>
        <rFont val="Calibri"/>
        <family val="2"/>
      </rPr>
      <t>Wolar Industrial</t>
    </r>
  </si>
  <si>
    <r>
      <rPr>
        <sz val="11"/>
        <rFont val="Calibri"/>
        <family val="2"/>
      </rPr>
      <t>Lone Star Sealing Technologies</t>
    </r>
  </si>
  <si>
    <r>
      <rPr>
        <sz val="11"/>
        <rFont val="Calibri"/>
        <family val="2"/>
      </rPr>
      <t>Gasket Resources</t>
    </r>
  </si>
  <si>
    <r>
      <rPr>
        <sz val="11"/>
        <rFont val="Calibri"/>
        <family val="2"/>
      </rPr>
      <t>Garlock</t>
    </r>
  </si>
  <si>
    <r>
      <rPr>
        <sz val="11"/>
        <rFont val="Calibri"/>
        <family val="2"/>
      </rPr>
      <t>Fasteners</t>
    </r>
  </si>
  <si>
    <r>
      <rPr>
        <sz val="11"/>
        <rFont val="Calibri"/>
        <family val="2"/>
      </rPr>
      <t>Dan-Loc Group</t>
    </r>
  </si>
  <si>
    <r>
      <rPr>
        <sz val="11"/>
        <rFont val="Calibri"/>
        <family val="2"/>
      </rPr>
      <t>LoneStar Fasteners</t>
    </r>
  </si>
  <si>
    <r>
      <rPr>
        <sz val="11"/>
        <rFont val="Calibri"/>
        <family val="2"/>
      </rPr>
      <t>Highland Threads</t>
    </r>
  </si>
  <si>
    <r>
      <rPr>
        <sz val="11"/>
        <rFont val="Calibri"/>
        <family val="2"/>
      </rPr>
      <t>Weld Fittings</t>
    </r>
  </si>
  <si>
    <r>
      <rPr>
        <sz val="11"/>
        <rFont val="Calibri"/>
        <family val="2"/>
      </rPr>
      <t>TFA (Tube Forgings of America)</t>
    </r>
  </si>
  <si>
    <r>
      <rPr>
        <sz val="11"/>
        <rFont val="Calibri"/>
        <family val="2"/>
      </rPr>
      <t>Allied Fitting (Allied Group)</t>
    </r>
  </si>
  <si>
    <r>
      <rPr>
        <sz val="11"/>
        <rFont val="Calibri"/>
        <family val="2"/>
      </rPr>
      <t>Dynamic Products</t>
    </r>
  </si>
  <si>
    <r>
      <rPr>
        <sz val="11"/>
        <rFont val="Calibri"/>
        <family val="2"/>
      </rPr>
      <t>Steel Forgings</t>
    </r>
  </si>
  <si>
    <r>
      <rPr>
        <sz val="11"/>
        <rFont val="Calibri"/>
        <family val="2"/>
      </rPr>
      <t>Mills Iron Works</t>
    </r>
  </si>
  <si>
    <r>
      <rPr>
        <sz val="11"/>
        <rFont val="Calibri"/>
        <family val="2"/>
      </rPr>
      <t>Custom Alloy</t>
    </r>
  </si>
  <si>
    <r>
      <rPr>
        <sz val="11"/>
        <rFont val="Calibri"/>
        <family val="2"/>
      </rPr>
      <t>Tectubi (Allied Group)</t>
    </r>
  </si>
  <si>
    <r>
      <rPr>
        <sz val="11"/>
        <rFont val="Calibri"/>
        <family val="2"/>
      </rPr>
      <t>Weld Line Stoppers</t>
    </r>
  </si>
  <si>
    <r>
      <rPr>
        <sz val="11"/>
        <rFont val="Calibri"/>
        <family val="2"/>
      </rPr>
      <t>WeldFit</t>
    </r>
  </si>
  <si>
    <r>
      <rPr>
        <sz val="11"/>
        <rFont val="Calibri"/>
        <family val="2"/>
      </rPr>
      <t>Dresser (Blackhawk)</t>
    </r>
  </si>
  <si>
    <r>
      <rPr>
        <sz val="11"/>
        <rFont val="Calibri"/>
        <family val="2"/>
      </rPr>
      <t>MT Deason (ISCO)</t>
    </r>
  </si>
  <si>
    <r>
      <rPr>
        <sz val="11"/>
        <rFont val="Calibri"/>
        <family val="2"/>
      </rPr>
      <t>STATS International</t>
    </r>
  </si>
  <si>
    <r>
      <rPr>
        <sz val="11"/>
        <rFont val="Calibri"/>
        <family val="2"/>
      </rPr>
      <t>Weld Reinforcing Fittings</t>
    </r>
  </si>
  <si>
    <r>
      <rPr>
        <sz val="11"/>
        <rFont val="Calibri"/>
        <family val="2"/>
      </rPr>
      <t>Dresser Natural Gas Solutions</t>
    </r>
  </si>
  <si>
    <r>
      <rPr>
        <sz val="11"/>
        <rFont val="Calibri"/>
        <family val="2"/>
      </rPr>
      <t>Olets</t>
    </r>
  </si>
  <si>
    <r>
      <rPr>
        <sz val="11"/>
        <rFont val="Calibri"/>
        <family val="2"/>
      </rPr>
      <t>Bonney Forge</t>
    </r>
  </si>
  <si>
    <r>
      <rPr>
        <sz val="11"/>
        <rFont val="Calibri"/>
        <family val="2"/>
      </rPr>
      <t>Welding Outlets Inc (WOI)</t>
    </r>
  </si>
  <si>
    <r>
      <rPr>
        <sz val="11"/>
        <rFont val="Calibri"/>
        <family val="2"/>
      </rPr>
      <t>WFI International (Bonney Forge)</t>
    </r>
  </si>
  <si>
    <r>
      <rPr>
        <sz val="11"/>
        <rFont val="Calibri"/>
        <family val="2"/>
      </rPr>
      <t>Capitol Manufacturing</t>
    </r>
  </si>
  <si>
    <r>
      <rPr>
        <sz val="11"/>
        <rFont val="Calibri"/>
        <family val="2"/>
      </rPr>
      <t>M.E.G.A.</t>
    </r>
  </si>
  <si>
    <r>
      <rPr>
        <sz val="11"/>
        <rFont val="Calibri"/>
        <family val="2"/>
      </rPr>
      <t>Penn Machine Works</t>
    </r>
  </si>
  <si>
    <r>
      <rPr>
        <sz val="11"/>
        <rFont val="Calibri"/>
        <family val="2"/>
      </rPr>
      <t>Malleables</t>
    </r>
  </si>
  <si>
    <r>
      <rPr>
        <sz val="11"/>
        <rFont val="Calibri"/>
        <family val="2"/>
      </rPr>
      <t>Ward (ASC Engineered Solutions)</t>
    </r>
  </si>
  <si>
    <r>
      <rPr>
        <sz val="11"/>
        <rFont val="Calibri"/>
        <family val="2"/>
      </rPr>
      <t>Alloy Products Distribution</t>
    </r>
  </si>
  <si>
    <r>
      <rPr>
        <sz val="11"/>
        <rFont val="Calibri"/>
        <family val="2"/>
      </rPr>
      <t>Billco</t>
    </r>
  </si>
  <si>
    <r>
      <rPr>
        <sz val="11"/>
        <rFont val="Calibri"/>
        <family val="2"/>
      </rPr>
      <t>Anvil (ASC Engineered Solutions)</t>
    </r>
  </si>
  <si>
    <r>
      <rPr>
        <sz val="11"/>
        <rFont val="Calibri"/>
        <family val="2"/>
      </rPr>
      <t>Georg Fischer Central Plastics</t>
    </r>
  </si>
  <si>
    <r>
      <rPr>
        <sz val="11"/>
        <rFont val="Calibri"/>
        <family val="2"/>
      </rPr>
      <t>Swage Nipples</t>
    </r>
  </si>
  <si>
    <r>
      <rPr>
        <sz val="11"/>
        <rFont val="Calibri"/>
        <family val="2"/>
      </rPr>
      <t>Nipples</t>
    </r>
  </si>
  <si>
    <r>
      <rPr>
        <sz val="11"/>
        <rFont val="Calibri"/>
        <family val="2"/>
      </rPr>
      <t>Forged Steel Fittings</t>
    </r>
  </si>
  <si>
    <r>
      <rPr>
        <sz val="11"/>
        <rFont val="Calibri"/>
        <family val="2"/>
      </rPr>
      <t>Butt Fusion</t>
    </r>
  </si>
  <si>
    <r>
      <rPr>
        <sz val="11"/>
        <rFont val="Calibri"/>
        <family val="2"/>
      </rPr>
      <t>Mechanical</t>
    </r>
  </si>
  <si>
    <r>
      <rPr>
        <sz val="11"/>
        <rFont val="Calibri"/>
        <family val="2"/>
      </rPr>
      <t>Perfection (Honeywell)</t>
    </r>
  </si>
  <si>
    <r>
      <rPr>
        <sz val="11"/>
        <rFont val="Calibri"/>
        <family val="2"/>
      </rPr>
      <t>Electrofusion</t>
    </r>
  </si>
  <si>
    <r>
      <rPr>
        <sz val="11"/>
        <rFont val="Calibri"/>
        <family val="2"/>
      </rPr>
      <t>Plasson</t>
    </r>
  </si>
  <si>
    <r>
      <rPr>
        <sz val="11"/>
        <rFont val="Calibri"/>
        <family val="2"/>
      </rPr>
      <t>Innogaz (Kerotest)</t>
    </r>
  </si>
  <si>
    <r>
      <rPr>
        <sz val="11"/>
        <rFont val="Calibri"/>
        <family val="2"/>
      </rPr>
      <t>Friatec (Frialen)</t>
    </r>
  </si>
  <si>
    <r>
      <rPr>
        <sz val="11"/>
        <rFont val="Calibri"/>
        <family val="2"/>
      </rPr>
      <t>Plastic to Steel</t>
    </r>
  </si>
  <si>
    <r>
      <rPr>
        <sz val="11"/>
        <rFont val="Calibri"/>
        <family val="2"/>
      </rPr>
      <t>Smith-Blair, Inc.</t>
    </r>
  </si>
  <si>
    <r>
      <rPr>
        <sz val="11"/>
        <rFont val="Calibri"/>
        <family val="2"/>
      </rPr>
      <t>Transition</t>
    </r>
  </si>
  <si>
    <r>
      <rPr>
        <sz val="11"/>
        <rFont val="Calibri"/>
        <family val="2"/>
      </rPr>
      <t>High Volume Tap Tees</t>
    </r>
  </si>
  <si>
    <r>
      <rPr>
        <sz val="11"/>
        <rFont val="Calibri"/>
        <family val="2"/>
      </rPr>
      <t>Steel Pipe Coatings</t>
    </r>
  </si>
  <si>
    <r>
      <rPr>
        <sz val="11"/>
        <rFont val="Calibri"/>
        <family val="2"/>
      </rPr>
      <t>3M</t>
    </r>
  </si>
  <si>
    <r>
      <rPr>
        <sz val="11"/>
        <rFont val="Calibri"/>
        <family val="2"/>
      </rPr>
      <t>Axalta</t>
    </r>
  </si>
  <si>
    <r>
      <rPr>
        <sz val="11"/>
        <rFont val="Calibri"/>
        <family val="2"/>
      </rPr>
      <t>Sherwin Williams</t>
    </r>
  </si>
  <si>
    <r>
      <rPr>
        <sz val="11"/>
        <rFont val="Calibri"/>
        <family val="2"/>
      </rPr>
      <t>SealForLife Industries</t>
    </r>
  </si>
  <si>
    <r>
      <rPr>
        <sz val="11"/>
        <rFont val="Calibri"/>
        <family val="2"/>
      </rPr>
      <t>AkzoNobel</t>
    </r>
  </si>
  <si>
    <r>
      <rPr>
        <sz val="11"/>
        <rFont val="Calibri"/>
        <family val="2"/>
      </rPr>
      <t>Anodes</t>
    </r>
  </si>
  <si>
    <r>
      <rPr>
        <sz val="11"/>
        <rFont val="Calibri"/>
        <family val="2"/>
      </rPr>
      <t>Energy Economics, Inc</t>
    </r>
  </si>
  <si>
    <r>
      <rPr>
        <sz val="11"/>
        <rFont val="Calibri"/>
        <family val="2"/>
      </rPr>
      <t>Stuart Steel</t>
    </r>
  </si>
  <si>
    <r>
      <rPr>
        <sz val="11"/>
        <rFont val="Calibri"/>
        <family val="2"/>
      </rPr>
      <t>Harco</t>
    </r>
  </si>
  <si>
    <r>
      <rPr>
        <sz val="11"/>
        <rFont val="Calibri"/>
        <family val="2"/>
      </rPr>
      <t>Corrpro</t>
    </r>
  </si>
  <si>
    <r>
      <rPr>
        <sz val="11"/>
        <rFont val="Calibri"/>
        <family val="2"/>
      </rPr>
      <t>Allied Corrosion</t>
    </r>
  </si>
  <si>
    <r>
      <rPr>
        <sz val="11"/>
        <rFont val="Calibri"/>
        <family val="2"/>
      </rPr>
      <t>Insulators - Flange</t>
    </r>
  </si>
  <si>
    <r>
      <rPr>
        <sz val="11"/>
        <rFont val="Calibri"/>
        <family val="2"/>
      </rPr>
      <t>Advance Products &amp; Systems</t>
    </r>
  </si>
  <si>
    <r>
      <rPr>
        <sz val="11"/>
        <rFont val="Calibri"/>
        <family val="2"/>
      </rPr>
      <t>Maloney Technical Products</t>
    </r>
  </si>
  <si>
    <r>
      <rPr>
        <sz val="11"/>
        <rFont val="Calibri"/>
        <family val="2"/>
      </rPr>
      <t>GPT Industries</t>
    </r>
  </si>
  <si>
    <r>
      <rPr>
        <sz val="11"/>
        <rFont val="Calibri"/>
        <family val="2"/>
      </rPr>
      <t>Casing Seals</t>
    </r>
  </si>
  <si>
    <r>
      <rPr>
        <sz val="11"/>
        <rFont val="Calibri"/>
        <family val="2"/>
      </rPr>
      <t>Ser. Tee - Steel to Steel</t>
    </r>
  </si>
  <si>
    <r>
      <rPr>
        <sz val="11"/>
        <rFont val="Calibri"/>
        <family val="2"/>
      </rPr>
      <t>Tap Tee - Steel to PE</t>
    </r>
  </si>
  <si>
    <r>
      <rPr>
        <sz val="11"/>
        <rFont val="Calibri"/>
        <family val="2"/>
      </rPr>
      <t>Anodeless Risers</t>
    </r>
  </si>
  <si>
    <r>
      <rPr>
        <sz val="11"/>
        <rFont val="Calibri"/>
        <family val="2"/>
      </rPr>
      <t>Cold Shrink Sleeve</t>
    </r>
  </si>
  <si>
    <r>
      <rPr>
        <sz val="11"/>
        <rFont val="Calibri"/>
        <family val="2"/>
      </rPr>
      <t>Tap Tee - PE to PE</t>
    </r>
  </si>
  <si>
    <r>
      <rPr>
        <sz val="11"/>
        <rFont val="Calibri"/>
        <family val="2"/>
      </rPr>
      <t>Friatec</t>
    </r>
  </si>
  <si>
    <r>
      <rPr>
        <sz val="11"/>
        <rFont val="Calibri"/>
        <family val="2"/>
      </rPr>
      <t>Excess Flow Valves</t>
    </r>
  </si>
  <si>
    <r>
      <rPr>
        <sz val="11"/>
        <rFont val="Calibri"/>
        <family val="2"/>
      </rPr>
      <t>Gasbreaker (Hubbell)</t>
    </r>
  </si>
  <si>
    <r>
      <rPr>
        <sz val="11"/>
        <rFont val="Calibri"/>
        <family val="2"/>
      </rPr>
      <t>Tap Tees</t>
    </r>
  </si>
  <si>
    <r>
      <rPr>
        <sz val="11"/>
        <rFont val="Calibri"/>
        <family val="2"/>
      </rPr>
      <t>Steel Repair Clamp</t>
    </r>
  </si>
  <si>
    <r>
      <rPr>
        <sz val="11"/>
        <rFont val="Calibri"/>
        <family val="2"/>
      </rPr>
      <t>Skinner Compnay</t>
    </r>
  </si>
  <si>
    <r>
      <rPr>
        <sz val="11"/>
        <rFont val="Calibri"/>
        <family val="2"/>
      </rPr>
      <t>PowerSeal</t>
    </r>
  </si>
  <si>
    <r>
      <rPr>
        <sz val="11"/>
        <rFont val="Calibri"/>
        <family val="2"/>
      </rPr>
      <t>Cast Iron-Bell Joint</t>
    </r>
  </si>
  <si>
    <r>
      <rPr>
        <sz val="11"/>
        <rFont val="Calibri"/>
        <family val="2"/>
      </rPr>
      <t>Permabond</t>
    </r>
  </si>
  <si>
    <r>
      <rPr>
        <sz val="11"/>
        <rFont val="Calibri"/>
        <family val="2"/>
      </rPr>
      <t>Miller Pipeline</t>
    </r>
  </si>
  <si>
    <r>
      <rPr>
        <sz val="11"/>
        <rFont val="Calibri"/>
        <family val="2"/>
      </rPr>
      <t>Mechanical Sleeves</t>
    </r>
  </si>
  <si>
    <r>
      <rPr>
        <sz val="11"/>
        <rFont val="Calibri"/>
        <family val="2"/>
      </rPr>
      <t>Weld Sleeves</t>
    </r>
  </si>
  <si>
    <r>
      <rPr>
        <sz val="11"/>
        <rFont val="Calibri"/>
        <family val="2"/>
      </rPr>
      <t>Hunt Pipeline Products</t>
    </r>
  </si>
  <si>
    <r>
      <rPr>
        <sz val="11"/>
        <rFont val="Calibri"/>
        <family val="2"/>
      </rPr>
      <t>Allan Edwards</t>
    </r>
  </si>
  <si>
    <r>
      <rPr>
        <sz val="11"/>
        <rFont val="Calibri"/>
        <family val="2"/>
      </rPr>
      <t>Diaphragm Meters</t>
    </r>
  </si>
  <si>
    <r>
      <rPr>
        <sz val="11"/>
        <rFont val="Calibri"/>
        <family val="2"/>
      </rPr>
      <t>American Meter (Honeywell)</t>
    </r>
  </si>
  <si>
    <r>
      <rPr>
        <sz val="11"/>
        <rFont val="Calibri"/>
        <family val="2"/>
      </rPr>
      <t>Sensus</t>
    </r>
  </si>
  <si>
    <r>
      <rPr>
        <sz val="11"/>
        <rFont val="Calibri"/>
        <family val="2"/>
      </rPr>
      <t>Rotary Meters</t>
    </r>
  </si>
  <si>
    <r>
      <rPr>
        <sz val="11"/>
        <rFont val="Calibri"/>
        <family val="2"/>
      </rPr>
      <t>Romet</t>
    </r>
  </si>
  <si>
    <r>
      <rPr>
        <sz val="11"/>
        <rFont val="Calibri"/>
        <family val="2"/>
      </rPr>
      <t>Turbine Meters</t>
    </r>
  </si>
  <si>
    <r>
      <rPr>
        <sz val="11"/>
        <rFont val="Calibri"/>
        <family val="2"/>
      </rPr>
      <t>Ultrasonics</t>
    </r>
  </si>
  <si>
    <r>
      <rPr>
        <sz val="11"/>
        <rFont val="Calibri"/>
        <family val="2"/>
      </rPr>
      <t>Sick Maihak</t>
    </r>
  </si>
  <si>
    <r>
      <rPr>
        <sz val="11"/>
        <rFont val="Calibri"/>
        <family val="2"/>
      </rPr>
      <t>Regulators</t>
    </r>
  </si>
  <si>
    <r>
      <rPr>
        <sz val="11"/>
        <rFont val="Calibri"/>
        <family val="2"/>
      </rPr>
      <t>Mooney (Baker Hughes)</t>
    </r>
  </si>
  <si>
    <r>
      <rPr>
        <sz val="11"/>
        <rFont val="Calibri"/>
        <family val="2"/>
      </rPr>
      <t>Utility Solutions Group (USG)</t>
    </r>
  </si>
  <si>
    <r>
      <rPr>
        <sz val="11"/>
        <rFont val="Calibri"/>
        <family val="2"/>
      </rPr>
      <t>Belgas</t>
    </r>
  </si>
  <si>
    <r>
      <rPr>
        <sz val="11"/>
        <rFont val="Calibri"/>
        <family val="2"/>
      </rPr>
      <t>Flow Safe</t>
    </r>
  </si>
  <si>
    <r>
      <rPr>
        <sz val="11"/>
        <rFont val="Calibri"/>
        <family val="2"/>
      </rPr>
      <t>Fisher (Emerson)</t>
    </r>
  </si>
  <si>
    <r>
      <rPr>
        <sz val="11"/>
        <rFont val="Calibri"/>
        <family val="2"/>
      </rPr>
      <t>ROOTS (Dresser Utility Solutions)</t>
    </r>
  </si>
  <si>
    <r>
      <rPr>
        <sz val="11"/>
        <rFont val="Calibri"/>
        <family val="2"/>
      </rPr>
      <t>Pietro Fiorentini</t>
    </r>
  </si>
  <si>
    <r>
      <rPr>
        <sz val="11"/>
        <rFont val="Calibri"/>
        <family val="2"/>
      </rPr>
      <t>Strainers (T and Y)</t>
    </r>
  </si>
  <si>
    <r>
      <rPr>
        <sz val="11"/>
        <rFont val="Calibri"/>
        <family val="2"/>
      </rPr>
      <t>Weamco</t>
    </r>
  </si>
  <si>
    <r>
      <rPr>
        <sz val="11"/>
        <rFont val="Calibri"/>
        <family val="2"/>
      </rPr>
      <t>Green Country</t>
    </r>
  </si>
  <si>
    <r>
      <rPr>
        <sz val="11"/>
        <rFont val="Calibri"/>
        <family val="2"/>
      </rPr>
      <t>Titan Flow Control</t>
    </r>
  </si>
  <si>
    <r>
      <rPr>
        <sz val="11"/>
        <rFont val="Calibri"/>
        <family val="2"/>
      </rPr>
      <t>Mueller Steam Specialty</t>
    </r>
  </si>
  <si>
    <r>
      <rPr>
        <sz val="11"/>
        <rFont val="Calibri"/>
        <family val="2"/>
      </rPr>
      <t>Keckley</t>
    </r>
  </si>
  <si>
    <r>
      <rPr>
        <sz val="11"/>
        <rFont val="Calibri"/>
        <family val="2"/>
      </rPr>
      <t>Orifice Meters</t>
    </r>
  </si>
  <si>
    <r>
      <rPr>
        <sz val="11"/>
        <rFont val="Calibri"/>
        <family val="2"/>
      </rPr>
      <t>Precision Flow Inc.</t>
    </r>
  </si>
  <si>
    <r>
      <rPr>
        <sz val="11"/>
        <rFont val="Calibri"/>
        <family val="2"/>
      </rPr>
      <t>Canalta Controls</t>
    </r>
  </si>
  <si>
    <r>
      <rPr>
        <sz val="11"/>
        <rFont val="Calibri"/>
        <family val="2"/>
      </rPr>
      <t>Pre-Fab Resi Meter Sets</t>
    </r>
  </si>
  <si>
    <r>
      <rPr>
        <sz val="11"/>
        <rFont val="Calibri"/>
        <family val="2"/>
      </rPr>
      <t>Advance Engineering Corporation (Hubbell)</t>
    </r>
  </si>
  <si>
    <r>
      <rPr>
        <sz val="11"/>
        <rFont val="Calibri"/>
        <family val="2"/>
      </rPr>
      <t>Pre-Fab Comm Meter Sets</t>
    </r>
  </si>
  <si>
    <r>
      <rPr>
        <sz val="11"/>
        <rFont val="Calibri"/>
        <family val="2"/>
      </rPr>
      <t>Consolidated Pipe &amp; Supply</t>
    </r>
  </si>
  <si>
    <r>
      <rPr>
        <sz val="11"/>
        <rFont val="Calibri"/>
        <family val="2"/>
      </rPr>
      <t>Pre-fab Comm Meter Sets</t>
    </r>
  </si>
  <si>
    <r>
      <rPr>
        <sz val="11"/>
        <rFont val="Calibri"/>
        <family val="2"/>
      </rPr>
      <t>Bird Equipment</t>
    </r>
  </si>
  <si>
    <r>
      <rPr>
        <sz val="11"/>
        <rFont val="Calibri"/>
        <family val="2"/>
      </rPr>
      <t>Pre-fab Multi-meter Manis</t>
    </r>
  </si>
  <si>
    <r>
      <rPr>
        <sz val="11"/>
        <rFont val="Calibri"/>
        <family val="2"/>
      </rPr>
      <t>Pre-fab Regulator Sets</t>
    </r>
  </si>
  <si>
    <r>
      <rPr>
        <sz val="11"/>
        <rFont val="Calibri"/>
        <family val="2"/>
      </rPr>
      <t>Pre-Fab Regulator Sets</t>
    </r>
  </si>
  <si>
    <r>
      <rPr>
        <sz val="11"/>
        <rFont val="Calibri"/>
        <family val="2"/>
      </rPr>
      <t>Flow Conditioners</t>
    </r>
  </si>
  <si>
    <r>
      <rPr>
        <sz val="11"/>
        <rFont val="Calibri"/>
        <family val="2"/>
      </rPr>
      <t>Savant Measurement Corporation</t>
    </r>
  </si>
  <si>
    <r>
      <rPr>
        <sz val="11"/>
        <rFont val="Calibri"/>
        <family val="2"/>
      </rPr>
      <t>Vortab</t>
    </r>
  </si>
  <si>
    <r>
      <rPr>
        <sz val="11"/>
        <rFont val="Calibri"/>
        <family val="2"/>
      </rPr>
      <t>Canada Pipeline Accessories</t>
    </r>
  </si>
  <si>
    <r>
      <rPr>
        <sz val="11"/>
        <rFont val="Calibri"/>
        <family val="2"/>
      </rPr>
      <t>Samplers</t>
    </r>
  </si>
  <si>
    <r>
      <rPr>
        <sz val="11"/>
        <rFont val="Calibri"/>
        <family val="2"/>
      </rPr>
      <t>YZ Systems</t>
    </r>
  </si>
  <si>
    <r>
      <rPr>
        <sz val="11"/>
        <rFont val="Calibri"/>
        <family val="2"/>
      </rPr>
      <t>Chromatograph</t>
    </r>
  </si>
  <si>
    <r>
      <rPr>
        <sz val="11"/>
        <rFont val="Calibri"/>
        <family val="2"/>
      </rPr>
      <t>Applied Automation Controls Inc.</t>
    </r>
  </si>
  <si>
    <r>
      <rPr>
        <sz val="11"/>
        <rFont val="Calibri"/>
        <family val="2"/>
      </rPr>
      <t>Chandler Engineering</t>
    </r>
  </si>
  <si>
    <r>
      <rPr>
        <sz val="11"/>
        <rFont val="Calibri"/>
        <family val="2"/>
      </rPr>
      <t>Moisture Analyzer</t>
    </r>
  </si>
  <si>
    <r>
      <rPr>
        <sz val="11"/>
        <rFont val="Calibri"/>
        <family val="2"/>
      </rPr>
      <t>SpectraSensors</t>
    </r>
  </si>
  <si>
    <r>
      <rPr>
        <sz val="11"/>
        <rFont val="Calibri"/>
        <family val="2"/>
      </rPr>
      <t>Hard Hats</t>
    </r>
  </si>
  <si>
    <r>
      <rPr>
        <sz val="11"/>
        <rFont val="Calibri"/>
        <family val="2"/>
      </rPr>
      <t>Mine Safety Appliances Company (MSA)</t>
    </r>
  </si>
  <si>
    <r>
      <rPr>
        <sz val="11"/>
        <rFont val="Calibri"/>
        <family val="2"/>
      </rPr>
      <t>Eye Protection</t>
    </r>
  </si>
  <si>
    <r>
      <rPr>
        <sz val="11"/>
        <rFont val="Calibri"/>
        <family val="2"/>
      </rPr>
      <t>AOSafety</t>
    </r>
  </si>
  <si>
    <r>
      <rPr>
        <sz val="11"/>
        <rFont val="Calibri"/>
        <family val="2"/>
      </rPr>
      <t>Leak Detect, Line Locator</t>
    </r>
  </si>
  <si>
    <r>
      <rPr>
        <sz val="11"/>
        <rFont val="Calibri"/>
        <family val="2"/>
      </rPr>
      <t>Sensit</t>
    </r>
  </si>
  <si>
    <r>
      <rPr>
        <sz val="11"/>
        <rFont val="Calibri"/>
        <family val="2"/>
      </rPr>
      <t>Heath</t>
    </r>
  </si>
  <si>
    <r>
      <rPr>
        <sz val="11"/>
        <rFont val="Calibri"/>
        <family val="2"/>
      </rPr>
      <t>H2S Monitor</t>
    </r>
  </si>
  <si>
    <r>
      <rPr>
        <sz val="11"/>
        <rFont val="Calibri"/>
        <family val="2"/>
      </rPr>
      <t>Del Mar Scientific</t>
    </r>
  </si>
  <si>
    <r>
      <rPr>
        <sz val="11"/>
        <rFont val="Calibri"/>
        <family val="2"/>
      </rPr>
      <t>Thread Seal Compound</t>
    </r>
  </si>
  <si>
    <r>
      <rPr>
        <sz val="11"/>
        <rFont val="Calibri"/>
        <family val="2"/>
      </rPr>
      <t>Key-Tite</t>
    </r>
  </si>
  <si>
    <r>
      <rPr>
        <sz val="11"/>
        <rFont val="Calibri"/>
        <family val="2"/>
      </rPr>
      <t>JC Whitlam</t>
    </r>
  </si>
  <si>
    <r>
      <rPr>
        <sz val="11"/>
        <rFont val="Calibri"/>
        <family val="2"/>
      </rPr>
      <t>LA-CO</t>
    </r>
  </si>
  <si>
    <r>
      <rPr>
        <sz val="11"/>
        <rFont val="Calibri"/>
        <family val="2"/>
      </rPr>
      <t>Rectorseal</t>
    </r>
  </si>
  <si>
    <r>
      <rPr>
        <sz val="11"/>
        <rFont val="Calibri"/>
        <family val="2"/>
      </rPr>
      <t>Tracer Wire &amp; Connectors</t>
    </r>
  </si>
  <si>
    <r>
      <rPr>
        <sz val="11"/>
        <rFont val="Calibri"/>
        <family val="2"/>
      </rPr>
      <t>Kris-Tech Wire</t>
    </r>
  </si>
  <si>
    <r>
      <rPr>
        <sz val="11"/>
        <rFont val="Calibri"/>
        <family val="2"/>
      </rPr>
      <t>Pro-Line (Trident Solutions)</t>
    </r>
  </si>
  <si>
    <r>
      <rPr>
        <sz val="11"/>
        <rFont val="Calibri"/>
        <family val="2"/>
      </rPr>
      <t>Neptco</t>
    </r>
  </si>
  <si>
    <r>
      <rPr>
        <sz val="11"/>
        <rFont val="Calibri"/>
        <family val="2"/>
      </rPr>
      <t>King Innovation</t>
    </r>
  </si>
  <si>
    <r>
      <rPr>
        <sz val="11"/>
        <rFont val="Calibri"/>
        <family val="2"/>
      </rPr>
      <t>Southwire</t>
    </r>
  </si>
  <si>
    <r>
      <rPr>
        <sz val="11"/>
        <rFont val="Calibri"/>
        <family val="2"/>
      </rPr>
      <t>Republic Wire</t>
    </r>
  </si>
  <si>
    <r>
      <rPr>
        <sz val="11"/>
        <rFont val="Calibri"/>
        <family val="2"/>
      </rPr>
      <t>Pressure Gauges</t>
    </r>
  </si>
  <si>
    <r>
      <rPr>
        <sz val="11"/>
        <rFont val="Calibri"/>
        <family val="2"/>
      </rPr>
      <t>Vaetrix Engineering</t>
    </r>
  </si>
  <si>
    <r>
      <rPr>
        <sz val="11"/>
        <rFont val="Calibri"/>
        <family val="2"/>
      </rPr>
      <t>M and M Enterprises</t>
    </r>
  </si>
  <si>
    <r>
      <rPr>
        <sz val="11"/>
        <rFont val="Calibri"/>
        <family val="2"/>
      </rPr>
      <t>Ashcroft</t>
    </r>
  </si>
  <si>
    <r>
      <rPr>
        <sz val="11"/>
        <rFont val="Calibri"/>
        <family val="2"/>
      </rPr>
      <t>WIKA</t>
    </r>
  </si>
  <si>
    <r>
      <rPr>
        <sz val="11"/>
        <rFont val="Calibri"/>
        <family val="2"/>
      </rPr>
      <t>US Gauge (Ametek)</t>
    </r>
  </si>
  <si>
    <r>
      <rPr>
        <sz val="11"/>
        <rFont val="Calibri"/>
        <family val="2"/>
      </rPr>
      <t>Noshok</t>
    </r>
  </si>
  <si>
    <r>
      <rPr>
        <sz val="11"/>
        <rFont val="Calibri"/>
        <family val="2"/>
      </rPr>
      <t>McDaniel Controls, Inc.</t>
    </r>
  </si>
  <si>
    <r>
      <rPr>
        <sz val="11"/>
        <rFont val="Calibri"/>
        <family val="2"/>
      </rPr>
      <t>Winters Instruments</t>
    </r>
  </si>
  <si>
    <r>
      <rPr>
        <sz val="11"/>
        <rFont val="Calibri"/>
        <family val="2"/>
      </rPr>
      <t>Heise</t>
    </r>
  </si>
  <si>
    <r>
      <rPr>
        <sz val="11"/>
        <rFont val="Calibri"/>
        <family val="2"/>
      </rPr>
      <t>Flex Appliance Connector</t>
    </r>
  </si>
  <si>
    <r>
      <rPr>
        <sz val="11"/>
        <rFont val="Calibri"/>
        <family val="2"/>
      </rPr>
      <t>Dormont</t>
    </r>
  </si>
  <si>
    <r>
      <rPr>
        <sz val="11"/>
        <rFont val="Calibri"/>
        <family val="2"/>
      </rPr>
      <t>Paint</t>
    </r>
  </si>
  <si>
    <r>
      <rPr>
        <sz val="11"/>
        <rFont val="Calibri"/>
        <family val="2"/>
      </rPr>
      <t>Duron</t>
    </r>
  </si>
  <si>
    <r>
      <rPr>
        <sz val="11"/>
        <rFont val="Calibri"/>
        <family val="2"/>
      </rPr>
      <t>Carboline</t>
    </r>
  </si>
  <si>
    <r>
      <rPr>
        <sz val="11"/>
        <rFont val="Calibri"/>
        <family val="2"/>
      </rPr>
      <t>Electrofusion Processors</t>
    </r>
  </si>
  <si>
    <r>
      <rPr>
        <sz val="11"/>
        <rFont val="Calibri"/>
        <family val="2"/>
      </rPr>
      <t>Hose</t>
    </r>
  </si>
  <si>
    <r>
      <rPr>
        <sz val="11"/>
        <rFont val="Calibri"/>
        <family val="2"/>
      </rPr>
      <t>American BOA</t>
    </r>
  </si>
  <si>
    <r>
      <rPr>
        <sz val="11"/>
        <rFont val="Calibri"/>
        <family val="2"/>
      </rPr>
      <t>Dry Gas Filter</t>
    </r>
  </si>
  <si>
    <r>
      <rPr>
        <sz val="11"/>
        <rFont val="Calibri"/>
        <family val="2"/>
      </rPr>
      <t>Perry Equipment Corporation (PECO)</t>
    </r>
  </si>
  <si>
    <r>
      <rPr>
        <sz val="11"/>
        <rFont val="Calibri"/>
        <family val="2"/>
      </rPr>
      <t>Filters &amp; Separators</t>
    </r>
  </si>
  <si>
    <r>
      <rPr>
        <sz val="11"/>
        <rFont val="Calibri"/>
        <family val="2"/>
      </rPr>
      <t>Patriot Process Equipment</t>
    </r>
  </si>
  <si>
    <r>
      <rPr>
        <sz val="11"/>
        <rFont val="Calibri"/>
        <family val="2"/>
      </rPr>
      <t>King Tool</t>
    </r>
  </si>
  <si>
    <r>
      <rPr>
        <sz val="11"/>
        <rFont val="Calibri"/>
        <family val="2"/>
      </rPr>
      <t>Peerless Mfg. Co.</t>
    </r>
  </si>
  <si>
    <t>Product Name</t>
  </si>
  <si>
    <t>Unique Product Name</t>
  </si>
  <si>
    <t>Unique Manufacturer</t>
  </si>
  <si>
    <t>Answers</t>
  </si>
  <si>
    <t>Yes</t>
  </si>
  <si>
    <t>No</t>
  </si>
  <si>
    <t>N/A</t>
  </si>
  <si>
    <t>MATERIAL DESCRIPTIONS</t>
  </si>
  <si>
    <t>RF WN FLANGE</t>
  </si>
  <si>
    <t>FF WN FLANGE</t>
  </si>
  <si>
    <t>RF THRD FLANGE</t>
  </si>
  <si>
    <t>FF THRD FLANGE</t>
  </si>
  <si>
    <t>RTJ WN FLANGE</t>
  </si>
  <si>
    <t>SLIP-ON RF FLANGE</t>
  </si>
  <si>
    <t>SLIP-ON FF FLANGE</t>
  </si>
  <si>
    <t>RF BLIND</t>
  </si>
  <si>
    <t>FF BLIND</t>
  </si>
  <si>
    <t>RF BLIND W/ 1/4in NPT</t>
  </si>
  <si>
    <t>RF BLIND W/ 1/2in NPT</t>
  </si>
  <si>
    <t>RF BLIND W/ 3/4in NPT</t>
  </si>
  <si>
    <t>RF BLIND W/ 1in NPT</t>
  </si>
  <si>
    <t>FF BLIND W/ 1/4in NPT</t>
  </si>
  <si>
    <t>FF BLIND W/ 1/2in NPT</t>
  </si>
  <si>
    <t>FF BLIND W/ 3/4in NPT</t>
  </si>
  <si>
    <t>FF BLIND W/ 1in NPT</t>
  </si>
  <si>
    <t>LR 90 ELL SEGM</t>
  </si>
  <si>
    <t>LR 90 ELL</t>
  </si>
  <si>
    <t>3R 90 ELL SEGM</t>
  </si>
  <si>
    <t>3R 90 ELL</t>
  </si>
  <si>
    <t>3D 90 ELL SEGM</t>
  </si>
  <si>
    <t>3D 90 ELL</t>
  </si>
  <si>
    <t>5D 90 ELL SEGM</t>
  </si>
  <si>
    <t>5D 90 ELL</t>
  </si>
  <si>
    <t>RED LR 90 ELL</t>
  </si>
  <si>
    <t>RED LR 90 ELL SEGM</t>
  </si>
  <si>
    <t>RED 3R 90 ELL</t>
  </si>
  <si>
    <t>RED 3R 90 ELL SEGM</t>
  </si>
  <si>
    <t>THRD 90 ELL</t>
  </si>
  <si>
    <t>3R 90 ELL SEGM CUT DOWN TO 00°</t>
  </si>
  <si>
    <t>LR 90 ELL SEGM CUT DOWN TO 00°</t>
  </si>
  <si>
    <t>3D 90 ELL SEGM CUT DOWN TO 00°</t>
  </si>
  <si>
    <t>5D 90 ELL SEGM CUT DOWN TO 00°</t>
  </si>
  <si>
    <t>LR 45 ELL SEGM</t>
  </si>
  <si>
    <t>LR 45 ELL</t>
  </si>
  <si>
    <t>3R 45 ELL SEGM</t>
  </si>
  <si>
    <t>3R 45 ELL</t>
  </si>
  <si>
    <t>3D 45 ELL SEGM</t>
  </si>
  <si>
    <t>3D 45 ELL</t>
  </si>
  <si>
    <t>5D 45 ELL SEGM</t>
  </si>
  <si>
    <t>5D 45 ELL</t>
  </si>
  <si>
    <t>RED LR 45 ELL</t>
  </si>
  <si>
    <t>RED LR 45 ELL SEGM</t>
  </si>
  <si>
    <t>RED 3R 45 ELL</t>
  </si>
  <si>
    <t>RED 3R 45 ELL SEGM</t>
  </si>
  <si>
    <t>THRD 45 ELL</t>
  </si>
  <si>
    <t>3R 45 ELL SEGM CUT DOWN TO 00°</t>
  </si>
  <si>
    <t>LR 45 ELL SEGM CUT DOWN TO 00°</t>
  </si>
  <si>
    <t>3D 45 ELL SEGM CUT DOWN TO 00°</t>
  </si>
  <si>
    <t>5D 45 ELL SEGM CUT DOWN TO 00°</t>
  </si>
  <si>
    <t>TEE</t>
  </si>
  <si>
    <t>TEE W/ BARS</t>
  </si>
  <si>
    <t>TEE ADDED BARS</t>
  </si>
  <si>
    <t>RED TEE</t>
  </si>
  <si>
    <t>RED TEE W/ BARS</t>
  </si>
  <si>
    <t>RED TEE ADDED BARS</t>
  </si>
  <si>
    <t>THRD TEE</t>
  </si>
  <si>
    <t>RED TEE THRD</t>
  </si>
  <si>
    <t>RF TEE STRAINER</t>
  </si>
  <si>
    <t>FF TEE STRAINER</t>
  </si>
  <si>
    <t>CONC RED</t>
  </si>
  <si>
    <t>CONC RED TBE</t>
  </si>
  <si>
    <t>CONC SWAGE TBE</t>
  </si>
  <si>
    <t>CONC SWAGE BxT</t>
  </si>
  <si>
    <t>CONC SWAGE THRD</t>
  </si>
  <si>
    <t>ECC RED</t>
  </si>
  <si>
    <t>ECC RED TBE</t>
  </si>
  <si>
    <t>SMLS NIPPLE TBE</t>
  </si>
  <si>
    <t>SMLS NIPPLE BxT</t>
  </si>
  <si>
    <t>SMLS NIPPLE BxB</t>
  </si>
  <si>
    <t>SMLS NIPPLE SWxT</t>
  </si>
  <si>
    <t>THREADOLET</t>
  </si>
  <si>
    <t>WELDOLET</t>
  </si>
  <si>
    <t>LATEROLET THRD</t>
  </si>
  <si>
    <t>ELBOWLET THRD</t>
  </si>
  <si>
    <t>SOCKOLET</t>
  </si>
  <si>
    <t>RF BALL VALVE</t>
  </si>
  <si>
    <t>FF BALL VALVE</t>
  </si>
  <si>
    <t>THRD BALL VALVE</t>
  </si>
  <si>
    <t>WxW BALL VALVE</t>
  </si>
  <si>
    <t>WxW BALL VALVE W/ FACTORY PUPS</t>
  </si>
  <si>
    <t>RF PLUG VALVE</t>
  </si>
  <si>
    <t>FF PLUG VALVE</t>
  </si>
  <si>
    <t xml:space="preserve">RF REGULATOR </t>
  </si>
  <si>
    <t>FF REGULATOR</t>
  </si>
  <si>
    <t>RF FILTER POT</t>
  </si>
  <si>
    <t>FF FILTER POT</t>
  </si>
  <si>
    <t>RF PRESSURE RELIEF VALVE</t>
  </si>
  <si>
    <t>FF PRESSURE RELIEF VALVE</t>
  </si>
  <si>
    <t>RF FLOW METER</t>
  </si>
  <si>
    <t>FF FLOW METER</t>
  </si>
  <si>
    <t>RF CONTROL VALVE</t>
  </si>
  <si>
    <t>FF CONTROL VALVE</t>
  </si>
  <si>
    <t>RF CHECK VALVE</t>
  </si>
  <si>
    <t>FF CHECK VALVE</t>
  </si>
  <si>
    <t>MxF NEEDLE VALVE</t>
  </si>
  <si>
    <t>SPLIT TEE</t>
  </si>
  <si>
    <t>STOPPLE</t>
  </si>
  <si>
    <t>SHORTSTOPP</t>
  </si>
  <si>
    <t>SPHERICAL TEE</t>
  </si>
  <si>
    <t>TOR NIPPLE BxT</t>
  </si>
  <si>
    <t>TOR CAP THRD</t>
  </si>
  <si>
    <t>COMPLETION PLUG</t>
  </si>
  <si>
    <t>THERMOWELL</t>
  </si>
  <si>
    <t>RF TEST AND TAP VALVE W/ 1/4in NPT</t>
  </si>
  <si>
    <t>RF TEST AND TAP VALVE W/ 1/2in NPT</t>
  </si>
  <si>
    <t>RF TEST AND TAP VALVE W/ 3/4in NPT</t>
  </si>
  <si>
    <t>RF TEST AND TAP VALVE W/ 1in NPT</t>
  </si>
  <si>
    <t>FF TEST AND TAP VALVE W/ 1/4in NPT</t>
  </si>
  <si>
    <t>FF TEST AND TAP VALVE W/ 1/2in NPT</t>
  </si>
  <si>
    <t>FF TEST AND TAP VALVE W/ 3/4in NPT</t>
  </si>
  <si>
    <t>FF TEST AND TAP VALVE W/ 1in NPT</t>
  </si>
  <si>
    <t>RF BLEED RING</t>
  </si>
  <si>
    <t>FF BLEED RING</t>
  </si>
  <si>
    <t>THRD PRESSURE GAUGE</t>
  </si>
  <si>
    <t>ORIFICE PLATE</t>
  </si>
  <si>
    <t>INSULATION KITS</t>
  </si>
  <si>
    <t>BOLTS</t>
  </si>
  <si>
    <t>GASKETS</t>
  </si>
  <si>
    <t>STEEL TO POLY TRANSITION</t>
  </si>
  <si>
    <t>PIG SIGNALS</t>
  </si>
  <si>
    <t>THRD UNION</t>
  </si>
  <si>
    <t>BARE PIPE</t>
  </si>
  <si>
    <t>FBE PIPE</t>
  </si>
  <si>
    <t>ARO PIPE</t>
  </si>
  <si>
    <t>HEX PLUG THRD</t>
  </si>
  <si>
    <t>COLLAR THRD</t>
  </si>
  <si>
    <t>BUSHING THRD</t>
  </si>
  <si>
    <t>CLOSURE</t>
  </si>
  <si>
    <t>CLOSURE HUB</t>
  </si>
  <si>
    <t>CLOSURE CAP</t>
  </si>
  <si>
    <t>PREFAB RECEIVER</t>
  </si>
  <si>
    <t>PREFAB LAUNCHER</t>
  </si>
  <si>
    <t>PREFAB SKID</t>
  </si>
  <si>
    <t>PREFAB SPOOL</t>
  </si>
  <si>
    <t>PREFAB METER RUN</t>
  </si>
  <si>
    <t>CAP</t>
  </si>
  <si>
    <t>ANSI/PRESSURE RATING</t>
  </si>
  <si>
    <t>ANSI 150</t>
  </si>
  <si>
    <t>ANSI 300</t>
  </si>
  <si>
    <t>ANSI 600</t>
  </si>
  <si>
    <t>ANSI 900</t>
  </si>
  <si>
    <t>ANSI 1500</t>
  </si>
  <si>
    <t>ANSI 150-600</t>
  </si>
  <si>
    <t>ANSI 150-900</t>
  </si>
  <si>
    <t>ANSI 150 X 300</t>
  </si>
  <si>
    <t>ANSI 150 X 600</t>
  </si>
  <si>
    <t>ANSI 300 X 600</t>
  </si>
  <si>
    <t>ANSI 300 X 150</t>
  </si>
  <si>
    <t>CWP 1000</t>
  </si>
  <si>
    <t>CWP 2000</t>
  </si>
  <si>
    <t>CWP 3000</t>
  </si>
  <si>
    <t>CWP 4000</t>
  </si>
  <si>
    <t>CWP 5000</t>
  </si>
  <si>
    <t>CWP 6000</t>
  </si>
  <si>
    <t>6M</t>
  </si>
  <si>
    <t>3M/6M</t>
  </si>
  <si>
    <t>3000#</t>
  </si>
  <si>
    <t>6000#</t>
  </si>
  <si>
    <r>
      <rPr>
        <sz val="11"/>
        <rFont val="Calibri"/>
        <family val="2"/>
      </rPr>
      <t>OneWest</t>
    </r>
    <r>
      <rPr>
        <sz val="11"/>
        <rFont val="Calibri"/>
      </rPr>
      <t xml:space="preserve"> (Westbrook)</t>
    </r>
  </si>
  <si>
    <r>
      <rPr>
        <sz val="11"/>
        <rFont val="Calibri"/>
        <family val="2"/>
      </rPr>
      <t>Hackney</t>
    </r>
    <r>
      <rPr>
        <sz val="11"/>
        <rFont val="Calibri"/>
      </rPr>
      <t xml:space="preserve"> Ladish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</si>
</sst>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Courier New"/>
      <family val="3"/>
    </font>
    <font>
      <sz val="12"/>
      <color theme="1"/>
      <name val="Wingdings"/>
      <charset val="2"/>
    </font>
    <font>
      <b/>
      <sz val="12"/>
      <color theme="1"/>
      <name val="Aptos"/>
      <family val="2"/>
    </font>
    <font>
      <b/>
      <sz val="18"/>
      <color theme="1"/>
      <name val="Aptos"/>
      <family val="2"/>
    </font>
    <font>
      <b/>
      <sz val="12"/>
      <color theme="1"/>
      <name val="Symbol"/>
      <family val="1"/>
      <charset val="2"/>
    </font>
    <font>
      <b/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3"/>
      <color theme="1"/>
      <name val="Arial"/>
      <family val="2"/>
    </font>
    <font>
      <b/>
      <i/>
      <sz val="13"/>
      <color theme="1"/>
      <name val="Arial"/>
      <family val="2"/>
    </font>
    <font>
      <b/>
      <i/>
      <sz val="22"/>
      <color theme="1"/>
      <name val="Arial"/>
      <family val="2"/>
    </font>
    <font>
      <sz val="13"/>
      <name val="Arial"/>
      <family val="2"/>
    </font>
    <font>
      <sz val="13"/>
      <color rgb="FF9C6500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</borders>
  <cellStyleXfs count="6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6" borderId="7" applyNumberFormat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 indent="15"/>
    </xf>
    <xf numFmtId="0" fontId="14" fillId="0" borderId="25" xfId="0" applyFont="1" applyBorder="1" applyAlignment="1">
      <alignment horizontal="left" vertical="top" wrapText="1"/>
    </xf>
    <xf numFmtId="0" fontId="14" fillId="0" borderId="26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3" borderId="3" xfId="0" applyFont="1" applyFill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7" fillId="3" borderId="0" xfId="0" applyFont="1" applyFill="1" applyAlignment="1" applyProtection="1">
      <alignment horizontal="center"/>
      <protection locked="0"/>
    </xf>
    <xf numFmtId="0" fontId="17" fillId="3" borderId="23" xfId="0" applyFont="1" applyFill="1" applyBorder="1" applyAlignment="1" applyProtection="1">
      <alignment horizontal="center"/>
      <protection locked="0"/>
    </xf>
    <xf numFmtId="0" fontId="18" fillId="3" borderId="9" xfId="0" applyFont="1" applyFill="1" applyBorder="1" applyAlignment="1" applyProtection="1">
      <alignment horizontal="center"/>
      <protection locked="0"/>
    </xf>
    <xf numFmtId="0" fontId="18" fillId="3" borderId="5" xfId="0" applyFont="1" applyFill="1" applyBorder="1" applyAlignment="1" applyProtection="1">
      <alignment horizontal="center"/>
      <protection locked="0"/>
    </xf>
    <xf numFmtId="0" fontId="18" fillId="3" borderId="3" xfId="0" applyFont="1" applyFill="1" applyBorder="1" applyAlignment="1" applyProtection="1">
      <alignment horizontal="center"/>
      <protection locked="0"/>
    </xf>
    <xf numFmtId="0" fontId="19" fillId="3" borderId="12" xfId="0" applyFont="1" applyFill="1" applyBorder="1" applyAlignment="1" applyProtection="1">
      <alignment horizontal="center"/>
      <protection locked="0"/>
    </xf>
    <xf numFmtId="0" fontId="19" fillId="3" borderId="1" xfId="0" applyFont="1" applyFill="1" applyBorder="1" applyAlignment="1" applyProtection="1">
      <alignment horizontal="center"/>
      <protection locked="0"/>
    </xf>
    <xf numFmtId="0" fontId="19" fillId="3" borderId="13" xfId="0" applyFont="1" applyFill="1" applyBorder="1" applyAlignment="1" applyProtection="1">
      <alignment horizontal="center"/>
      <protection locked="0"/>
    </xf>
    <xf numFmtId="0" fontId="19" fillId="3" borderId="20" xfId="0" applyFont="1" applyFill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8" fillId="3" borderId="14" xfId="0" applyFont="1" applyFill="1" applyBorder="1" applyAlignment="1" applyProtection="1">
      <alignment horizontal="center"/>
      <protection locked="0"/>
    </xf>
    <xf numFmtId="49" fontId="18" fillId="3" borderId="5" xfId="0" applyNumberFormat="1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Alignment="1" applyProtection="1">
      <alignment horizontal="center"/>
      <protection locked="0"/>
    </xf>
    <xf numFmtId="0" fontId="20" fillId="3" borderId="0" xfId="0" applyFont="1" applyFill="1" applyAlignment="1" applyProtection="1">
      <alignment horizontal="center"/>
      <protection locked="0"/>
    </xf>
    <xf numFmtId="0" fontId="19" fillId="3" borderId="8" xfId="0" applyFont="1" applyFill="1" applyBorder="1" applyAlignment="1" applyProtection="1">
      <alignment horizontal="center"/>
      <protection locked="0"/>
    </xf>
    <xf numFmtId="0" fontId="19" fillId="3" borderId="21" xfId="0" applyFont="1" applyFill="1" applyBorder="1" applyAlignment="1" applyProtection="1">
      <alignment horizontal="center"/>
      <protection locked="0"/>
    </xf>
    <xf numFmtId="14" fontId="18" fillId="3" borderId="17" xfId="0" applyNumberFormat="1" applyFont="1" applyFill="1" applyBorder="1" applyAlignment="1" applyProtection="1">
      <alignment horizontal="center"/>
      <protection locked="0"/>
    </xf>
    <xf numFmtId="0" fontId="18" fillId="3" borderId="18" xfId="0" applyFont="1" applyFill="1" applyBorder="1" applyAlignment="1" applyProtection="1">
      <alignment horizontal="center"/>
      <protection locked="0"/>
    </xf>
    <xf numFmtId="0" fontId="18" fillId="3" borderId="2" xfId="0" applyFont="1" applyFill="1" applyBorder="1" applyAlignment="1" applyProtection="1">
      <alignment horizontal="center"/>
      <protection locked="0"/>
    </xf>
    <xf numFmtId="0" fontId="18" fillId="3" borderId="0" xfId="0" applyFont="1" applyFill="1" applyProtection="1">
      <protection locked="0"/>
    </xf>
    <xf numFmtId="0" fontId="20" fillId="3" borderId="23" xfId="0" applyFont="1" applyFill="1" applyBorder="1" applyAlignment="1" applyProtection="1">
      <alignment horizontal="center"/>
      <protection locked="0"/>
    </xf>
    <xf numFmtId="0" fontId="19" fillId="3" borderId="2" xfId="0" applyFont="1" applyFill="1" applyBorder="1" applyAlignment="1" applyProtection="1">
      <alignment horizontal="center"/>
      <protection locked="0"/>
    </xf>
    <xf numFmtId="0" fontId="19" fillId="3" borderId="19" xfId="0" applyFont="1" applyFill="1" applyBorder="1" applyAlignment="1" applyProtection="1">
      <alignment horizontal="center"/>
      <protection locked="0"/>
    </xf>
    <xf numFmtId="0" fontId="19" fillId="3" borderId="22" xfId="0" applyFont="1" applyFill="1" applyBorder="1" applyAlignment="1" applyProtection="1">
      <alignment horizontal="center"/>
      <protection locked="0"/>
    </xf>
    <xf numFmtId="0" fontId="21" fillId="0" borderId="1" xfId="4" applyFont="1" applyBorder="1" applyAlignment="1">
      <alignment horizontal="center"/>
    </xf>
    <xf numFmtId="0" fontId="21" fillId="2" borderId="1" xfId="3" applyFont="1" applyFill="1" applyBorder="1" applyAlignment="1">
      <alignment horizontal="center"/>
    </xf>
    <xf numFmtId="0" fontId="18" fillId="0" borderId="1" xfId="0" applyFont="1" applyBorder="1" applyAlignment="1" applyProtection="1">
      <alignment horizontal="center"/>
      <protection locked="0"/>
    </xf>
    <xf numFmtId="0" fontId="21" fillId="0" borderId="5" xfId="4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 applyProtection="1">
      <alignment horizontal="center"/>
      <protection locked="0"/>
    </xf>
    <xf numFmtId="11" fontId="18" fillId="0" borderId="1" xfId="0" applyNumberFormat="1" applyFont="1" applyBorder="1" applyAlignment="1" applyProtection="1">
      <alignment horizontal="center"/>
      <protection locked="0"/>
    </xf>
    <xf numFmtId="0" fontId="21" fillId="2" borderId="5" xfId="4" applyFont="1" applyFill="1" applyBorder="1" applyAlignment="1">
      <alignment horizontal="center"/>
    </xf>
    <xf numFmtId="0" fontId="21" fillId="2" borderId="1" xfId="4" applyFont="1" applyFill="1" applyBorder="1" applyAlignment="1">
      <alignment horizontal="center"/>
    </xf>
    <xf numFmtId="0" fontId="18" fillId="2" borderId="1" xfId="0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21" fillId="0" borderId="1" xfId="3" applyFont="1" applyFill="1" applyBorder="1" applyAlignment="1">
      <alignment horizontal="center"/>
    </xf>
    <xf numFmtId="0" fontId="21" fillId="0" borderId="1" xfId="2" applyFont="1" applyFill="1" applyBorder="1" applyAlignment="1">
      <alignment horizontal="center"/>
    </xf>
    <xf numFmtId="0" fontId="21" fillId="0" borderId="5" xfId="2" applyFont="1" applyFill="1" applyBorder="1" applyAlignment="1">
      <alignment horizontal="center"/>
    </xf>
    <xf numFmtId="0" fontId="21" fillId="2" borderId="1" xfId="1" applyFont="1" applyFill="1" applyBorder="1" applyAlignment="1">
      <alignment horizontal="center"/>
    </xf>
    <xf numFmtId="0" fontId="21" fillId="2" borderId="5" xfId="1" applyFont="1" applyFill="1" applyBorder="1" applyAlignment="1">
      <alignment horizontal="center"/>
    </xf>
    <xf numFmtId="0" fontId="21" fillId="2" borderId="1" xfId="0" applyFont="1" applyFill="1" applyBorder="1" applyAlignment="1" applyProtection="1">
      <alignment horizontal="center"/>
      <protection locked="0"/>
    </xf>
    <xf numFmtId="0" fontId="21" fillId="2" borderId="0" xfId="0" applyFont="1" applyFill="1" applyProtection="1">
      <protection locked="0"/>
    </xf>
    <xf numFmtId="0" fontId="22" fillId="0" borderId="5" xfId="2" applyFont="1" applyFill="1" applyBorder="1" applyAlignment="1">
      <alignment horizontal="center"/>
    </xf>
    <xf numFmtId="0" fontId="22" fillId="0" borderId="1" xfId="2" applyFont="1" applyFill="1" applyBorder="1" applyAlignment="1">
      <alignment horizontal="center"/>
    </xf>
    <xf numFmtId="0" fontId="21" fillId="0" borderId="5" xfId="1" applyFont="1" applyFill="1" applyBorder="1" applyAlignment="1">
      <alignment horizontal="center"/>
    </xf>
    <xf numFmtId="0" fontId="21" fillId="0" borderId="1" xfId="1" applyFont="1" applyFill="1" applyBorder="1" applyAlignment="1">
      <alignment horizontal="center"/>
    </xf>
    <xf numFmtId="0" fontId="18" fillId="0" borderId="1" xfId="0" applyFont="1" applyBorder="1" applyAlignment="1" applyProtection="1">
      <alignment horizontal="center" wrapText="1"/>
      <protection locked="0"/>
    </xf>
    <xf numFmtId="0" fontId="21" fillId="0" borderId="1" xfId="0" applyFon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12" fontId="18" fillId="0" borderId="5" xfId="0" applyNumberFormat="1" applyFont="1" applyBorder="1" applyAlignment="1" applyProtection="1">
      <alignment horizontal="center"/>
      <protection locked="0"/>
    </xf>
    <xf numFmtId="12" fontId="18" fillId="0" borderId="1" xfId="0" applyNumberFormat="1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12" fontId="18" fillId="2" borderId="5" xfId="0" applyNumberFormat="1" applyFont="1" applyFill="1" applyBorder="1" applyAlignment="1" applyProtection="1">
      <alignment horizontal="center"/>
      <protection locked="0"/>
    </xf>
    <xf numFmtId="12" fontId="18" fillId="2" borderId="1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12" fontId="18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14" fontId="18" fillId="0" borderId="0" xfId="0" applyNumberFormat="1" applyFont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4" fillId="0" borderId="1" xfId="0" applyFont="1" applyBorder="1" applyAlignment="1" applyProtection="1">
      <alignment horizontal="center"/>
      <protection locked="0"/>
    </xf>
    <xf numFmtId="12" fontId="23" fillId="0" borderId="5" xfId="0" applyNumberFormat="1" applyFont="1" applyBorder="1" applyAlignment="1" applyProtection="1">
      <alignment horizontal="center"/>
      <protection locked="0"/>
    </xf>
    <xf numFmtId="12" fontId="23" fillId="0" borderId="1" xfId="0" applyNumberFormat="1" applyFont="1" applyBorder="1" applyAlignment="1" applyProtection="1">
      <alignment horizontal="center"/>
      <protection locked="0"/>
    </xf>
    <xf numFmtId="0" fontId="23" fillId="0" borderId="24" xfId="0" applyFont="1" applyBorder="1" applyAlignment="1">
      <alignment horizontal="center"/>
    </xf>
    <xf numFmtId="14" fontId="23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Protection="1">
      <protection locked="0"/>
    </xf>
    <xf numFmtId="0" fontId="18" fillId="0" borderId="24" xfId="0" applyFont="1" applyBorder="1" applyAlignment="1" applyProtection="1">
      <alignment horizontal="center"/>
      <protection hidden="1"/>
    </xf>
    <xf numFmtId="0" fontId="18" fillId="0" borderId="1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14" fontId="23" fillId="0" borderId="28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5" xfId="4" applyBorder="1" applyAlignment="1">
      <alignment horizontal="center" wrapText="1"/>
    </xf>
    <xf numFmtId="0" fontId="4" fillId="0" borderId="27" xfId="4" applyBorder="1" applyAlignment="1">
      <alignment horizontal="center" wrapText="1"/>
    </xf>
    <xf numFmtId="0" fontId="4" fillId="0" borderId="24" xfId="4" applyBorder="1" applyAlignment="1">
      <alignment horizontal="center" wrapText="1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3" xfId="0" applyFont="1" applyFill="1" applyBorder="1" applyAlignment="1" applyProtection="1">
      <alignment horizontal="center"/>
      <protection locked="0"/>
    </xf>
    <xf numFmtId="0" fontId="18" fillId="3" borderId="11" xfId="0" applyFont="1" applyFill="1" applyBorder="1" applyAlignment="1" applyProtection="1">
      <alignment horizontal="center"/>
      <protection locked="0"/>
    </xf>
    <xf numFmtId="0" fontId="18" fillId="3" borderId="0" xfId="0" applyFont="1" applyFill="1" applyAlignment="1" applyProtection="1">
      <alignment horizontal="center"/>
      <protection locked="0"/>
    </xf>
    <xf numFmtId="0" fontId="18" fillId="3" borderId="16" xfId="0" applyFont="1" applyFill="1" applyBorder="1" applyAlignment="1" applyProtection="1">
      <alignment horizontal="center"/>
      <protection locked="0"/>
    </xf>
    <xf numFmtId="0" fontId="18" fillId="3" borderId="23" xfId="0" applyFont="1" applyFill="1" applyBorder="1" applyAlignment="1" applyProtection="1">
      <alignment horizontal="center"/>
      <protection locked="0"/>
    </xf>
    <xf numFmtId="0" fontId="18" fillId="3" borderId="6" xfId="0" applyFont="1" applyFill="1" applyBorder="1" applyAlignment="1" applyProtection="1">
      <alignment horizontal="center"/>
      <protection locked="0"/>
    </xf>
    <xf numFmtId="0" fontId="20" fillId="3" borderId="0" xfId="0" applyFont="1" applyFill="1" applyAlignment="1" applyProtection="1">
      <alignment horizontal="center" vertical="center"/>
      <protection locked="0"/>
    </xf>
    <xf numFmtId="0" fontId="20" fillId="3" borderId="23" xfId="0" applyFont="1" applyFill="1" applyBorder="1" applyAlignment="1" applyProtection="1">
      <alignment horizontal="center" vertical="center"/>
      <protection locked="0"/>
    </xf>
    <xf numFmtId="0" fontId="23" fillId="0" borderId="5" xfId="0" applyFont="1" applyBorder="1" applyAlignment="1" applyProtection="1">
      <alignment horizontal="center"/>
      <protection locked="0"/>
    </xf>
    <xf numFmtId="0" fontId="23" fillId="0" borderId="24" xfId="0" applyFont="1" applyBorder="1" applyAlignment="1" applyProtection="1">
      <alignment horizontal="center"/>
      <protection locked="0"/>
    </xf>
    <xf numFmtId="0" fontId="21" fillId="0" borderId="5" xfId="4" applyFont="1" applyBorder="1" applyAlignment="1">
      <alignment horizontal="center" wrapText="1"/>
    </xf>
    <xf numFmtId="0" fontId="21" fillId="0" borderId="24" xfId="4" applyFont="1" applyBorder="1" applyAlignment="1">
      <alignment horizontal="center" wrapText="1"/>
    </xf>
    <xf numFmtId="0" fontId="23" fillId="0" borderId="27" xfId="0" applyFont="1" applyBorder="1" applyAlignment="1" applyProtection="1">
      <alignment horizontal="center"/>
      <protection locked="0"/>
    </xf>
    <xf numFmtId="0" fontId="21" fillId="0" borderId="27" xfId="4" applyFont="1" applyBorder="1" applyAlignment="1">
      <alignment horizontal="center" wrapText="1"/>
    </xf>
    <xf numFmtId="0" fontId="4" fillId="0" borderId="5" xfId="4" applyBorder="1" applyAlignment="1" applyProtection="1">
      <alignment horizontal="center" wrapText="1"/>
      <protection locked="0"/>
    </xf>
    <xf numFmtId="0" fontId="4" fillId="0" borderId="27" xfId="4" applyBorder="1" applyAlignment="1" applyProtection="1">
      <alignment horizontal="center" wrapText="1"/>
      <protection locked="0"/>
    </xf>
    <xf numFmtId="0" fontId="4" fillId="0" borderId="24" xfId="4" applyBorder="1" applyAlignment="1" applyProtection="1">
      <alignment horizontal="center" wrapText="1"/>
      <protection locked="0"/>
    </xf>
    <xf numFmtId="0" fontId="15" fillId="0" borderId="25" xfId="0" applyFont="1" applyBorder="1" applyAlignment="1">
      <alignment horizontal="left" vertical="top" wrapText="1"/>
    </xf>
  </cellXfs>
  <cellStyles count="6">
    <cellStyle name="Bad" xfId="1" builtinId="27"/>
    <cellStyle name="Calculation" xfId="3" builtinId="22"/>
    <cellStyle name="Neutral" xfId="2" builtinId="28"/>
    <cellStyle name="Normal" xfId="0" builtinId="0"/>
    <cellStyle name="Normal 2" xfId="4" xr:uid="{00000000-0005-0000-0000-000004000000}"/>
    <cellStyle name="Percent 2" xfId="5" xr:uid="{00000000-0005-0000-0000-000005000000}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34774</xdr:rowOff>
    </xdr:from>
    <xdr:to>
      <xdr:col>37</xdr:col>
      <xdr:colOff>205628</xdr:colOff>
      <xdr:row>2</xdr:row>
      <xdr:rowOff>306981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9642" y="388560"/>
          <a:ext cx="2865311" cy="582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7923-656B-4386-B6FA-48C0DFE0AE8E}">
  <sheetPr codeName="Sheet1"/>
  <dimension ref="A1:R35"/>
  <sheetViews>
    <sheetView showGridLines="0" zoomScale="85" zoomScaleNormal="85" workbookViewId="0">
      <selection activeCell="N38" sqref="N38"/>
    </sheetView>
  </sheetViews>
  <sheetFormatPr defaultRowHeight="15" x14ac:dyDescent="0.25"/>
  <sheetData>
    <row r="1" spans="1:18" ht="24" x14ac:dyDescent="0.25">
      <c r="A1" s="82" t="s">
        <v>312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15.75" x14ac:dyDescent="0.25">
      <c r="A2" s="2"/>
    </row>
    <row r="3" spans="1:18" ht="15.75" x14ac:dyDescent="0.25">
      <c r="A3" s="81" t="s">
        <v>341</v>
      </c>
      <c r="B3" s="81"/>
      <c r="C3" s="81"/>
      <c r="D3" s="81"/>
      <c r="E3" s="81"/>
    </row>
    <row r="4" spans="1:18" ht="15.75" x14ac:dyDescent="0.25">
      <c r="A4" s="3" t="s">
        <v>313</v>
      </c>
    </row>
    <row r="5" spans="1:18" ht="15.75" x14ac:dyDescent="0.25">
      <c r="A5" s="3" t="s">
        <v>314</v>
      </c>
    </row>
    <row r="6" spans="1:18" ht="15.75" x14ac:dyDescent="0.25">
      <c r="A6" s="3" t="s">
        <v>315</v>
      </c>
    </row>
    <row r="7" spans="1:18" ht="15.75" x14ac:dyDescent="0.25">
      <c r="A7" s="81" t="s">
        <v>339</v>
      </c>
      <c r="B7" s="81"/>
      <c r="C7" s="81"/>
    </row>
    <row r="8" spans="1:18" ht="15.75" x14ac:dyDescent="0.25">
      <c r="A8" s="3" t="s">
        <v>316</v>
      </c>
    </row>
    <row r="9" spans="1:18" ht="15.75" x14ac:dyDescent="0.25">
      <c r="A9" s="3" t="s">
        <v>317</v>
      </c>
    </row>
    <row r="10" spans="1:18" ht="15.75" x14ac:dyDescent="0.25">
      <c r="A10" s="3" t="s">
        <v>318</v>
      </c>
    </row>
    <row r="11" spans="1:18" ht="15.75" x14ac:dyDescent="0.25">
      <c r="A11" s="3" t="s">
        <v>319</v>
      </c>
    </row>
    <row r="12" spans="1:18" ht="15.75" x14ac:dyDescent="0.25">
      <c r="A12" s="81" t="s">
        <v>340</v>
      </c>
      <c r="B12" s="81"/>
      <c r="C12" s="81"/>
      <c r="D12" s="81"/>
    </row>
    <row r="13" spans="1:18" ht="15.75" x14ac:dyDescent="0.25">
      <c r="A13" s="3" t="s">
        <v>320</v>
      </c>
    </row>
    <row r="14" spans="1:18" ht="15.75" x14ac:dyDescent="0.25">
      <c r="A14" s="4" t="s">
        <v>321</v>
      </c>
    </row>
    <row r="15" spans="1:18" ht="15.75" x14ac:dyDescent="0.25">
      <c r="A15" s="3" t="s">
        <v>322</v>
      </c>
    </row>
    <row r="16" spans="1:18" ht="15.75" x14ac:dyDescent="0.25">
      <c r="A16" s="4" t="s">
        <v>323</v>
      </c>
    </row>
    <row r="17" spans="1:6" ht="15.75" x14ac:dyDescent="0.25">
      <c r="A17" s="4" t="s">
        <v>324</v>
      </c>
    </row>
    <row r="18" spans="1:6" ht="15.75" x14ac:dyDescent="0.25">
      <c r="A18" s="3" t="s">
        <v>325</v>
      </c>
    </row>
    <row r="19" spans="1:6" ht="15.75" x14ac:dyDescent="0.25">
      <c r="A19" s="3" t="s">
        <v>326</v>
      </c>
    </row>
    <row r="20" spans="1:6" ht="15.75" x14ac:dyDescent="0.25">
      <c r="A20" s="81" t="s">
        <v>342</v>
      </c>
      <c r="B20" s="81"/>
      <c r="C20" s="81"/>
      <c r="D20" s="81"/>
      <c r="E20" s="81"/>
      <c r="F20" s="81"/>
    </row>
    <row r="21" spans="1:6" ht="15.75" x14ac:dyDescent="0.25">
      <c r="A21" s="3" t="s">
        <v>327</v>
      </c>
    </row>
    <row r="22" spans="1:6" ht="15.75" x14ac:dyDescent="0.25">
      <c r="A22" s="3" t="s">
        <v>328</v>
      </c>
    </row>
    <row r="23" spans="1:6" ht="15.75" x14ac:dyDescent="0.25">
      <c r="A23" s="81" t="s">
        <v>343</v>
      </c>
      <c r="B23" s="81"/>
      <c r="C23" s="81"/>
      <c r="D23" s="81"/>
    </row>
    <row r="24" spans="1:6" ht="15.75" x14ac:dyDescent="0.25">
      <c r="A24" s="3" t="s">
        <v>329</v>
      </c>
    </row>
    <row r="25" spans="1:6" ht="15.75" x14ac:dyDescent="0.25">
      <c r="A25" s="3" t="s">
        <v>330</v>
      </c>
    </row>
    <row r="26" spans="1:6" ht="15.75" x14ac:dyDescent="0.25">
      <c r="A26" s="3" t="s">
        <v>331</v>
      </c>
    </row>
    <row r="27" spans="1:6" ht="15.75" x14ac:dyDescent="0.25">
      <c r="A27" s="81" t="s">
        <v>344</v>
      </c>
      <c r="B27" s="81"/>
      <c r="C27" s="81"/>
      <c r="D27" s="81"/>
      <c r="E27" s="81"/>
    </row>
    <row r="28" spans="1:6" ht="15.75" x14ac:dyDescent="0.25">
      <c r="A28" s="3" t="s">
        <v>332</v>
      </c>
    </row>
    <row r="29" spans="1:6" ht="15.75" x14ac:dyDescent="0.25">
      <c r="A29" s="3" t="s">
        <v>333</v>
      </c>
    </row>
    <row r="30" spans="1:6" ht="15.75" x14ac:dyDescent="0.25">
      <c r="A30" s="3" t="s">
        <v>334</v>
      </c>
    </row>
    <row r="31" spans="1:6" ht="15.75" x14ac:dyDescent="0.25">
      <c r="A31" s="81" t="s">
        <v>345</v>
      </c>
      <c r="B31" s="81"/>
      <c r="C31" s="81"/>
      <c r="D31" s="81"/>
      <c r="E31" s="81"/>
    </row>
    <row r="32" spans="1:6" ht="15.75" x14ac:dyDescent="0.25">
      <c r="A32" s="3" t="s">
        <v>335</v>
      </c>
    </row>
    <row r="33" spans="1:1" ht="15.75" x14ac:dyDescent="0.25">
      <c r="A33" s="3" t="s">
        <v>336</v>
      </c>
    </row>
    <row r="34" spans="1:1" ht="15.75" x14ac:dyDescent="0.25">
      <c r="A34" s="3" t="s">
        <v>337</v>
      </c>
    </row>
    <row r="35" spans="1:1" ht="15.75" x14ac:dyDescent="0.25">
      <c r="A35" s="3" t="s">
        <v>338</v>
      </c>
    </row>
  </sheetData>
  <mergeCells count="8">
    <mergeCell ref="A23:D23"/>
    <mergeCell ref="A27:E27"/>
    <mergeCell ref="A31:E31"/>
    <mergeCell ref="A3:E3"/>
    <mergeCell ref="A1:R1"/>
    <mergeCell ref="A7:C7"/>
    <mergeCell ref="A12:D12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Y998"/>
  <sheetViews>
    <sheetView tabSelected="1" zoomScaleNormal="100" zoomScalePageLayoutView="70" workbookViewId="0">
      <pane ySplit="5" topLeftCell="A6" activePane="bottomLeft" state="frozen"/>
      <selection pane="bottomLeft" activeCell="B1" sqref="B1"/>
    </sheetView>
  </sheetViews>
  <sheetFormatPr defaultColWidth="8.85546875" defaultRowHeight="16.5" x14ac:dyDescent="0.25"/>
  <cols>
    <col min="1" max="1" width="16.7109375" style="62" bestFit="1" customWidth="1"/>
    <col min="2" max="2" width="19" style="65" customWidth="1"/>
    <col min="3" max="3" width="27.5703125" style="62" customWidth="1"/>
    <col min="4" max="5" width="10.7109375" style="66" customWidth="1"/>
    <col min="6" max="19" width="3.28515625" style="10" customWidth="1"/>
    <col min="20" max="23" width="5.7109375" style="10" customWidth="1"/>
    <col min="24" max="30" width="8.28515625" style="66" customWidth="1"/>
    <col min="31" max="37" width="5.7109375" style="10" customWidth="1"/>
    <col min="38" max="40" width="10.7109375" style="10" customWidth="1"/>
    <col min="41" max="41" width="17.7109375" style="67" bestFit="1" customWidth="1"/>
    <col min="42" max="42" width="17.7109375" style="67" customWidth="1"/>
    <col min="43" max="43" width="14.28515625" style="68" customWidth="1"/>
    <col min="44" max="44" width="25.28515625" style="69" customWidth="1"/>
    <col min="45" max="46" width="21.7109375" style="69" customWidth="1"/>
    <col min="47" max="48" width="25.7109375" style="69" customWidth="1"/>
    <col min="49" max="49" width="25.28515625" style="69" customWidth="1"/>
    <col min="50" max="50" width="81" style="69" customWidth="1"/>
    <col min="51" max="51" width="27.7109375" style="20" customWidth="1"/>
    <col min="52" max="16384" width="8.85546875" style="20"/>
  </cols>
  <sheetData>
    <row r="1" spans="1:51" ht="27.75" customHeight="1" x14ac:dyDescent="0.25">
      <c r="A1" s="13" t="s">
        <v>0</v>
      </c>
      <c r="B1" s="14"/>
      <c r="C1" s="86"/>
      <c r="D1" s="87"/>
      <c r="E1" s="15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8"/>
      <c r="AR1" s="16" t="s">
        <v>1</v>
      </c>
      <c r="AS1" s="17" t="s">
        <v>2</v>
      </c>
      <c r="AT1" s="16" t="s">
        <v>3</v>
      </c>
      <c r="AU1" s="18" t="s">
        <v>2</v>
      </c>
      <c r="AV1" s="18"/>
      <c r="AW1" s="18"/>
      <c r="AX1" s="19"/>
    </row>
    <row r="2" spans="1:51" ht="24" customHeight="1" x14ac:dyDescent="0.4">
      <c r="A2" s="21" t="s">
        <v>4</v>
      </c>
      <c r="B2" s="22"/>
      <c r="C2" s="23"/>
      <c r="D2" s="93" t="s">
        <v>5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11"/>
      <c r="U2" s="24"/>
      <c r="V2" s="24"/>
      <c r="W2" s="24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90"/>
      <c r="AR2" s="17" t="s">
        <v>6</v>
      </c>
      <c r="AS2" s="17" t="s">
        <v>2</v>
      </c>
      <c r="AT2" s="17" t="s">
        <v>7</v>
      </c>
      <c r="AU2" s="25" t="s">
        <v>2</v>
      </c>
      <c r="AV2" s="25"/>
      <c r="AW2" s="25"/>
      <c r="AX2" s="26"/>
    </row>
    <row r="3" spans="1:51" ht="28.5" customHeight="1" x14ac:dyDescent="0.4">
      <c r="A3" s="21" t="s">
        <v>8</v>
      </c>
      <c r="B3" s="27"/>
      <c r="C3" s="2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11"/>
      <c r="U3" s="24"/>
      <c r="V3" s="24"/>
      <c r="W3" s="24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90"/>
      <c r="AR3" s="17" t="s">
        <v>9</v>
      </c>
      <c r="AS3" s="17" t="s">
        <v>2</v>
      </c>
      <c r="AT3" s="17" t="s">
        <v>10</v>
      </c>
      <c r="AU3" s="25" t="s">
        <v>2</v>
      </c>
      <c r="AV3" s="25"/>
      <c r="AW3" s="25"/>
      <c r="AX3" s="26"/>
    </row>
    <row r="4" spans="1:51" ht="29.25" customHeight="1" thickBot="1" x14ac:dyDescent="0.45">
      <c r="A4" s="28" t="s">
        <v>11</v>
      </c>
      <c r="B4" s="29"/>
      <c r="C4" s="30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12"/>
      <c r="U4" s="31"/>
      <c r="V4" s="31"/>
      <c r="W4" s="3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2"/>
      <c r="AR4" s="32" t="s">
        <v>12</v>
      </c>
      <c r="AS4" s="32" t="s">
        <v>2</v>
      </c>
      <c r="AT4" s="32" t="s">
        <v>13</v>
      </c>
      <c r="AU4" s="33" t="s">
        <v>2</v>
      </c>
      <c r="AV4" s="33"/>
      <c r="AW4" s="33"/>
      <c r="AX4" s="34"/>
    </row>
    <row r="5" spans="1:51" s="76" customFormat="1" ht="14.25" x14ac:dyDescent="0.2">
      <c r="A5" s="70" t="s">
        <v>14</v>
      </c>
      <c r="B5" s="71" t="s">
        <v>15</v>
      </c>
      <c r="C5" s="70" t="s">
        <v>20</v>
      </c>
      <c r="D5" s="95" t="s">
        <v>16</v>
      </c>
      <c r="E5" s="96"/>
      <c r="F5" s="95" t="s">
        <v>17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6"/>
      <c r="T5" s="95" t="s">
        <v>18</v>
      </c>
      <c r="U5" s="96"/>
      <c r="V5" s="95" t="s">
        <v>19</v>
      </c>
      <c r="W5" s="96"/>
      <c r="X5" s="95" t="s">
        <v>21</v>
      </c>
      <c r="Y5" s="99"/>
      <c r="Z5" s="99"/>
      <c r="AA5" s="99"/>
      <c r="AB5" s="99"/>
      <c r="AC5" s="99"/>
      <c r="AD5" s="96"/>
      <c r="AE5" s="95" t="s">
        <v>22</v>
      </c>
      <c r="AF5" s="99"/>
      <c r="AG5" s="96"/>
      <c r="AH5" s="95" t="s">
        <v>23</v>
      </c>
      <c r="AI5" s="99"/>
      <c r="AJ5" s="99"/>
      <c r="AK5" s="96"/>
      <c r="AL5" s="95" t="s">
        <v>24</v>
      </c>
      <c r="AM5" s="99"/>
      <c r="AN5" s="96"/>
      <c r="AO5" s="72" t="s">
        <v>25</v>
      </c>
      <c r="AP5" s="73" t="s">
        <v>26</v>
      </c>
      <c r="AQ5" s="74" t="s">
        <v>27</v>
      </c>
      <c r="AR5" s="75" t="s">
        <v>31</v>
      </c>
      <c r="AS5" s="75" t="s">
        <v>32</v>
      </c>
      <c r="AT5" s="75" t="s">
        <v>28</v>
      </c>
      <c r="AU5" s="75" t="s">
        <v>29</v>
      </c>
      <c r="AV5" s="75" t="s">
        <v>30</v>
      </c>
      <c r="AW5" s="75" t="s">
        <v>33</v>
      </c>
      <c r="AX5" s="80" t="s">
        <v>34</v>
      </c>
    </row>
    <row r="6" spans="1:51" ht="20.100000000000001" customHeight="1" x14ac:dyDescent="0.25">
      <c r="A6" s="35">
        <v>1</v>
      </c>
      <c r="B6" s="36"/>
      <c r="C6" s="37"/>
      <c r="D6" s="97"/>
      <c r="E6" s="98"/>
      <c r="F6" s="101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83"/>
      <c r="U6" s="85"/>
      <c r="V6" s="83"/>
      <c r="W6" s="85"/>
      <c r="X6" s="97" t="s">
        <v>80</v>
      </c>
      <c r="Y6" s="100"/>
      <c r="Z6" s="100"/>
      <c r="AA6" s="100"/>
      <c r="AB6" s="100"/>
      <c r="AC6" s="100"/>
      <c r="AD6" s="98"/>
      <c r="AE6" s="83"/>
      <c r="AF6" s="84"/>
      <c r="AG6" s="85"/>
      <c r="AH6" s="83"/>
      <c r="AI6" s="84"/>
      <c r="AJ6" s="84"/>
      <c r="AK6" s="85"/>
      <c r="AL6" s="83"/>
      <c r="AM6" s="84"/>
      <c r="AN6" s="85"/>
      <c r="AO6" s="38"/>
      <c r="AP6" s="38"/>
      <c r="AQ6" s="78">
        <f>AP6-B6</f>
        <v>0</v>
      </c>
      <c r="AR6" s="37"/>
      <c r="AS6" s="78">
        <f>AP6-AR6</f>
        <v>0</v>
      </c>
      <c r="AT6" s="37"/>
      <c r="AU6" s="37"/>
      <c r="AV6" s="37"/>
      <c r="AW6" s="37"/>
      <c r="AX6" s="40"/>
    </row>
    <row r="7" spans="1:51" ht="20.100000000000001" customHeight="1" x14ac:dyDescent="0.25">
      <c r="A7" s="35">
        <v>2</v>
      </c>
      <c r="B7" s="36"/>
      <c r="C7" s="37"/>
      <c r="D7" s="97"/>
      <c r="E7" s="98"/>
      <c r="F7" s="101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  <c r="T7" s="83"/>
      <c r="U7" s="85"/>
      <c r="V7" s="83"/>
      <c r="W7" s="85"/>
      <c r="X7" s="97"/>
      <c r="Y7" s="100"/>
      <c r="Z7" s="100"/>
      <c r="AA7" s="100"/>
      <c r="AB7" s="100"/>
      <c r="AC7" s="100"/>
      <c r="AD7" s="98"/>
      <c r="AE7" s="83"/>
      <c r="AF7" s="84"/>
      <c r="AG7" s="85"/>
      <c r="AH7" s="83"/>
      <c r="AI7" s="84"/>
      <c r="AJ7" s="84"/>
      <c r="AK7" s="85"/>
      <c r="AL7" s="83"/>
      <c r="AM7" s="84"/>
      <c r="AN7" s="85"/>
      <c r="AO7" s="38"/>
      <c r="AP7" s="38"/>
      <c r="AQ7" s="78">
        <f t="shared" ref="AQ7:AQ70" si="0">AP7-B7</f>
        <v>0</v>
      </c>
      <c r="AR7" s="37"/>
      <c r="AS7" s="78">
        <f t="shared" ref="AS7:AS70" si="1">AP7-AR7</f>
        <v>0</v>
      </c>
      <c r="AT7" s="41"/>
      <c r="AU7" s="37"/>
      <c r="AV7" s="37"/>
      <c r="AW7" s="37"/>
      <c r="AX7" s="37"/>
    </row>
    <row r="8" spans="1:51" ht="20.100000000000001" customHeight="1" x14ac:dyDescent="0.25">
      <c r="A8" s="35">
        <v>3</v>
      </c>
      <c r="B8" s="36"/>
      <c r="C8" s="37"/>
      <c r="D8" s="97"/>
      <c r="E8" s="98"/>
      <c r="F8" s="101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83"/>
      <c r="U8" s="85"/>
      <c r="V8" s="83"/>
      <c r="W8" s="85"/>
      <c r="X8" s="97"/>
      <c r="Y8" s="100"/>
      <c r="Z8" s="100"/>
      <c r="AA8" s="100"/>
      <c r="AB8" s="100"/>
      <c r="AC8" s="100"/>
      <c r="AD8" s="98"/>
      <c r="AE8" s="83"/>
      <c r="AF8" s="84"/>
      <c r="AG8" s="85"/>
      <c r="AH8" s="83"/>
      <c r="AI8" s="84"/>
      <c r="AJ8" s="84"/>
      <c r="AK8" s="85"/>
      <c r="AL8" s="83"/>
      <c r="AM8" s="84"/>
      <c r="AN8" s="85"/>
      <c r="AO8" s="38"/>
      <c r="AP8" s="35"/>
      <c r="AQ8" s="78">
        <f t="shared" si="0"/>
        <v>0</v>
      </c>
      <c r="AR8" s="37"/>
      <c r="AS8" s="78">
        <f t="shared" si="1"/>
        <v>0</v>
      </c>
      <c r="AT8" s="41"/>
      <c r="AU8" s="37"/>
      <c r="AV8" s="37"/>
      <c r="AW8" s="37"/>
      <c r="AX8" s="37"/>
    </row>
    <row r="9" spans="1:51" ht="20.100000000000001" customHeight="1" x14ac:dyDescent="0.25">
      <c r="A9" s="35">
        <v>4</v>
      </c>
      <c r="B9" s="36"/>
      <c r="C9" s="37"/>
      <c r="D9" s="97"/>
      <c r="E9" s="98"/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/>
      <c r="T9" s="83"/>
      <c r="U9" s="85"/>
      <c r="V9" s="83"/>
      <c r="W9" s="85"/>
      <c r="X9" s="97"/>
      <c r="Y9" s="100"/>
      <c r="Z9" s="100"/>
      <c r="AA9" s="100"/>
      <c r="AB9" s="100"/>
      <c r="AC9" s="100"/>
      <c r="AD9" s="98"/>
      <c r="AE9" s="83"/>
      <c r="AF9" s="84"/>
      <c r="AG9" s="85"/>
      <c r="AH9" s="83"/>
      <c r="AI9" s="84"/>
      <c r="AJ9" s="84"/>
      <c r="AK9" s="85"/>
      <c r="AL9" s="83"/>
      <c r="AM9" s="84"/>
      <c r="AN9" s="85"/>
      <c r="AO9" s="38"/>
      <c r="AP9" s="35"/>
      <c r="AQ9" s="78">
        <f t="shared" si="0"/>
        <v>0</v>
      </c>
      <c r="AR9" s="37"/>
      <c r="AS9" s="78">
        <f t="shared" si="1"/>
        <v>0</v>
      </c>
      <c r="AT9" s="37"/>
      <c r="AU9" s="37"/>
      <c r="AV9" s="37"/>
      <c r="AW9" s="37"/>
      <c r="AX9" s="37"/>
    </row>
    <row r="10" spans="1:51" ht="20.100000000000001" customHeight="1" x14ac:dyDescent="0.25">
      <c r="A10" s="35">
        <v>5</v>
      </c>
      <c r="B10" s="36"/>
      <c r="C10" s="37"/>
      <c r="D10" s="97"/>
      <c r="E10" s="98"/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83"/>
      <c r="U10" s="85"/>
      <c r="V10" s="83"/>
      <c r="W10" s="85"/>
      <c r="X10" s="97"/>
      <c r="Y10" s="100"/>
      <c r="Z10" s="100"/>
      <c r="AA10" s="100"/>
      <c r="AB10" s="100"/>
      <c r="AC10" s="100"/>
      <c r="AD10" s="98"/>
      <c r="AE10" s="83"/>
      <c r="AF10" s="84"/>
      <c r="AG10" s="85"/>
      <c r="AH10" s="83"/>
      <c r="AI10" s="84"/>
      <c r="AJ10" s="84"/>
      <c r="AK10" s="85"/>
      <c r="AL10" s="83"/>
      <c r="AM10" s="84"/>
      <c r="AN10" s="85"/>
      <c r="AO10" s="38"/>
      <c r="AP10" s="35"/>
      <c r="AQ10" s="78">
        <f t="shared" si="0"/>
        <v>0</v>
      </c>
      <c r="AR10" s="37"/>
      <c r="AS10" s="78">
        <f t="shared" si="1"/>
        <v>0</v>
      </c>
      <c r="AT10" s="37"/>
      <c r="AU10" s="37"/>
      <c r="AV10" s="37"/>
      <c r="AW10" s="37"/>
      <c r="AX10" s="37"/>
    </row>
    <row r="11" spans="1:51" ht="20.100000000000001" customHeight="1" x14ac:dyDescent="0.25">
      <c r="A11" s="35">
        <v>6</v>
      </c>
      <c r="B11" s="36"/>
      <c r="C11" s="37"/>
      <c r="D11" s="97"/>
      <c r="E11" s="98"/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3"/>
      <c r="T11" s="83"/>
      <c r="U11" s="85"/>
      <c r="V11" s="83"/>
      <c r="W11" s="85"/>
      <c r="X11" s="97"/>
      <c r="Y11" s="100"/>
      <c r="Z11" s="100"/>
      <c r="AA11" s="100"/>
      <c r="AB11" s="100"/>
      <c r="AC11" s="100"/>
      <c r="AD11" s="98"/>
      <c r="AE11" s="83"/>
      <c r="AF11" s="84"/>
      <c r="AG11" s="85"/>
      <c r="AH11" s="83"/>
      <c r="AI11" s="84"/>
      <c r="AJ11" s="84"/>
      <c r="AK11" s="85"/>
      <c r="AL11" s="83"/>
      <c r="AM11" s="84"/>
      <c r="AN11" s="85"/>
      <c r="AO11" s="38"/>
      <c r="AP11" s="35"/>
      <c r="AQ11" s="78">
        <f t="shared" si="0"/>
        <v>0</v>
      </c>
      <c r="AR11" s="37"/>
      <c r="AS11" s="78">
        <f t="shared" si="1"/>
        <v>0</v>
      </c>
      <c r="AT11" s="37"/>
      <c r="AU11" s="37"/>
      <c r="AV11" s="37"/>
      <c r="AW11" s="37"/>
      <c r="AX11" s="37"/>
    </row>
    <row r="12" spans="1:51" ht="20.100000000000001" customHeight="1" x14ac:dyDescent="0.25">
      <c r="A12" s="35">
        <v>7</v>
      </c>
      <c r="B12" s="36"/>
      <c r="C12" s="37"/>
      <c r="D12" s="97"/>
      <c r="E12" s="98"/>
      <c r="F12" s="101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83"/>
      <c r="U12" s="85"/>
      <c r="V12" s="83"/>
      <c r="W12" s="85"/>
      <c r="X12" s="97"/>
      <c r="Y12" s="100"/>
      <c r="Z12" s="100"/>
      <c r="AA12" s="100"/>
      <c r="AB12" s="100"/>
      <c r="AC12" s="100"/>
      <c r="AD12" s="98"/>
      <c r="AE12" s="83"/>
      <c r="AF12" s="84"/>
      <c r="AG12" s="85"/>
      <c r="AH12" s="83"/>
      <c r="AI12" s="84"/>
      <c r="AJ12" s="84"/>
      <c r="AK12" s="85"/>
      <c r="AL12" s="83"/>
      <c r="AM12" s="84"/>
      <c r="AN12" s="85"/>
      <c r="AO12" s="38"/>
      <c r="AP12" s="35"/>
      <c r="AQ12" s="78">
        <f t="shared" si="0"/>
        <v>0</v>
      </c>
      <c r="AR12" s="37"/>
      <c r="AS12" s="78">
        <f t="shared" si="1"/>
        <v>0</v>
      </c>
      <c r="AT12" s="37"/>
      <c r="AU12" s="37"/>
      <c r="AV12" s="37"/>
      <c r="AW12" s="37"/>
      <c r="AX12" s="37"/>
    </row>
    <row r="13" spans="1:51" s="45" customFormat="1" ht="20.100000000000001" customHeight="1" x14ac:dyDescent="0.25">
      <c r="A13" s="35">
        <v>8</v>
      </c>
      <c r="B13" s="36"/>
      <c r="C13" s="37"/>
      <c r="D13" s="97"/>
      <c r="E13" s="98"/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3"/>
      <c r="T13" s="83"/>
      <c r="U13" s="85"/>
      <c r="V13" s="83"/>
      <c r="W13" s="85"/>
      <c r="X13" s="97"/>
      <c r="Y13" s="100"/>
      <c r="Z13" s="100"/>
      <c r="AA13" s="100"/>
      <c r="AB13" s="100"/>
      <c r="AC13" s="100"/>
      <c r="AD13" s="98"/>
      <c r="AE13" s="83"/>
      <c r="AF13" s="84"/>
      <c r="AG13" s="85"/>
      <c r="AH13" s="83"/>
      <c r="AI13" s="84"/>
      <c r="AJ13" s="84"/>
      <c r="AK13" s="85"/>
      <c r="AL13" s="83"/>
      <c r="AM13" s="84"/>
      <c r="AN13" s="85"/>
      <c r="AO13" s="42"/>
      <c r="AP13" s="43"/>
      <c r="AQ13" s="78">
        <f t="shared" si="0"/>
        <v>0</v>
      </c>
      <c r="AR13" s="37"/>
      <c r="AS13" s="78">
        <f t="shared" si="1"/>
        <v>0</v>
      </c>
      <c r="AT13" s="44"/>
      <c r="AU13" s="37"/>
      <c r="AV13" s="37"/>
      <c r="AW13" s="44"/>
      <c r="AX13" s="44"/>
      <c r="AY13" s="20"/>
    </row>
    <row r="14" spans="1:51" s="45" customFormat="1" ht="20.100000000000001" customHeight="1" x14ac:dyDescent="0.25">
      <c r="A14" s="35">
        <v>9</v>
      </c>
      <c r="B14" s="36"/>
      <c r="C14" s="37"/>
      <c r="D14" s="97"/>
      <c r="E14" s="98"/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3"/>
      <c r="T14" s="83"/>
      <c r="U14" s="85"/>
      <c r="V14" s="83"/>
      <c r="W14" s="85"/>
      <c r="X14" s="97"/>
      <c r="Y14" s="100"/>
      <c r="Z14" s="100"/>
      <c r="AA14" s="100"/>
      <c r="AB14" s="100"/>
      <c r="AC14" s="100"/>
      <c r="AD14" s="98"/>
      <c r="AE14" s="83"/>
      <c r="AF14" s="84"/>
      <c r="AG14" s="85"/>
      <c r="AH14" s="83"/>
      <c r="AI14" s="84"/>
      <c r="AJ14" s="84"/>
      <c r="AK14" s="85"/>
      <c r="AL14" s="83"/>
      <c r="AM14" s="84"/>
      <c r="AN14" s="85"/>
      <c r="AO14" s="42"/>
      <c r="AP14" s="43"/>
      <c r="AQ14" s="78">
        <f t="shared" si="0"/>
        <v>0</v>
      </c>
      <c r="AR14" s="37"/>
      <c r="AS14" s="78">
        <f t="shared" si="1"/>
        <v>0</v>
      </c>
      <c r="AT14" s="44"/>
      <c r="AU14" s="37"/>
      <c r="AV14" s="37"/>
      <c r="AW14" s="44"/>
      <c r="AX14" s="44"/>
      <c r="AY14" s="20"/>
    </row>
    <row r="15" spans="1:51" s="45" customFormat="1" ht="20.100000000000001" customHeight="1" x14ac:dyDescent="0.25">
      <c r="A15" s="35">
        <v>10</v>
      </c>
      <c r="B15" s="36"/>
      <c r="C15" s="37"/>
      <c r="D15" s="97"/>
      <c r="E15" s="98"/>
      <c r="F15" s="101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3"/>
      <c r="T15" s="83"/>
      <c r="U15" s="85"/>
      <c r="V15" s="83"/>
      <c r="W15" s="85"/>
      <c r="X15" s="97"/>
      <c r="Y15" s="100"/>
      <c r="Z15" s="100"/>
      <c r="AA15" s="100"/>
      <c r="AB15" s="100"/>
      <c r="AC15" s="100"/>
      <c r="AD15" s="98"/>
      <c r="AE15" s="83"/>
      <c r="AF15" s="84"/>
      <c r="AG15" s="85"/>
      <c r="AH15" s="83"/>
      <c r="AI15" s="84"/>
      <c r="AJ15" s="84"/>
      <c r="AK15" s="85"/>
      <c r="AL15" s="83"/>
      <c r="AM15" s="84"/>
      <c r="AN15" s="85"/>
      <c r="AO15" s="42"/>
      <c r="AP15" s="43"/>
      <c r="AQ15" s="78">
        <f t="shared" si="0"/>
        <v>0</v>
      </c>
      <c r="AR15" s="37"/>
      <c r="AS15" s="78">
        <f t="shared" si="1"/>
        <v>0</v>
      </c>
      <c r="AT15" s="44"/>
      <c r="AU15" s="37"/>
      <c r="AV15" s="37"/>
      <c r="AW15" s="44"/>
      <c r="AX15" s="44"/>
      <c r="AY15" s="20"/>
    </row>
    <row r="16" spans="1:51" ht="20.100000000000001" customHeight="1" x14ac:dyDescent="0.25">
      <c r="A16" s="35">
        <v>11</v>
      </c>
      <c r="B16" s="36"/>
      <c r="C16" s="37"/>
      <c r="D16" s="97"/>
      <c r="E16" s="98"/>
      <c r="F16" s="101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83"/>
      <c r="U16" s="85"/>
      <c r="V16" s="83"/>
      <c r="W16" s="85"/>
      <c r="X16" s="97"/>
      <c r="Y16" s="100"/>
      <c r="Z16" s="100"/>
      <c r="AA16" s="100"/>
      <c r="AB16" s="100"/>
      <c r="AC16" s="100"/>
      <c r="AD16" s="98"/>
      <c r="AE16" s="83"/>
      <c r="AF16" s="84"/>
      <c r="AG16" s="85"/>
      <c r="AH16" s="83"/>
      <c r="AI16" s="84"/>
      <c r="AJ16" s="84"/>
      <c r="AK16" s="85"/>
      <c r="AL16" s="83"/>
      <c r="AM16" s="84"/>
      <c r="AN16" s="85"/>
      <c r="AO16" s="38"/>
      <c r="AP16" s="35"/>
      <c r="AQ16" s="78">
        <f t="shared" si="0"/>
        <v>0</v>
      </c>
      <c r="AR16" s="37"/>
      <c r="AS16" s="78">
        <f t="shared" si="1"/>
        <v>0</v>
      </c>
      <c r="AT16" s="37"/>
      <c r="AU16" s="37"/>
      <c r="AV16" s="37"/>
      <c r="AW16" s="37"/>
      <c r="AX16" s="37"/>
    </row>
    <row r="17" spans="1:50" ht="20.100000000000001" customHeight="1" x14ac:dyDescent="0.25">
      <c r="A17" s="35">
        <v>12</v>
      </c>
      <c r="B17" s="36"/>
      <c r="C17" s="37"/>
      <c r="D17" s="97"/>
      <c r="E17" s="98"/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3"/>
      <c r="T17" s="83"/>
      <c r="U17" s="85"/>
      <c r="V17" s="83"/>
      <c r="W17" s="85"/>
      <c r="X17" s="97"/>
      <c r="Y17" s="100"/>
      <c r="Z17" s="100"/>
      <c r="AA17" s="100"/>
      <c r="AB17" s="100"/>
      <c r="AC17" s="100"/>
      <c r="AD17" s="98"/>
      <c r="AE17" s="83"/>
      <c r="AF17" s="84"/>
      <c r="AG17" s="85"/>
      <c r="AH17" s="83"/>
      <c r="AI17" s="84"/>
      <c r="AJ17" s="84"/>
      <c r="AK17" s="85"/>
      <c r="AL17" s="83"/>
      <c r="AM17" s="84"/>
      <c r="AN17" s="85"/>
      <c r="AO17" s="38"/>
      <c r="AP17" s="35"/>
      <c r="AQ17" s="78">
        <f t="shared" si="0"/>
        <v>0</v>
      </c>
      <c r="AR17" s="37"/>
      <c r="AS17" s="78">
        <f t="shared" si="1"/>
        <v>0</v>
      </c>
      <c r="AT17" s="37"/>
      <c r="AU17" s="37"/>
      <c r="AV17" s="37"/>
      <c r="AW17" s="37"/>
      <c r="AX17" s="37"/>
    </row>
    <row r="18" spans="1:50" ht="20.100000000000001" customHeight="1" x14ac:dyDescent="0.25">
      <c r="A18" s="35">
        <v>13</v>
      </c>
      <c r="B18" s="46"/>
      <c r="C18" s="37"/>
      <c r="D18" s="97"/>
      <c r="E18" s="98"/>
      <c r="F18" s="101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3"/>
      <c r="T18" s="83"/>
      <c r="U18" s="85"/>
      <c r="V18" s="83"/>
      <c r="W18" s="85"/>
      <c r="X18" s="97"/>
      <c r="Y18" s="100"/>
      <c r="Z18" s="100"/>
      <c r="AA18" s="100"/>
      <c r="AB18" s="100"/>
      <c r="AC18" s="100"/>
      <c r="AD18" s="98"/>
      <c r="AE18" s="83"/>
      <c r="AF18" s="84"/>
      <c r="AG18" s="85"/>
      <c r="AH18" s="83"/>
      <c r="AI18" s="84"/>
      <c r="AJ18" s="84"/>
      <c r="AK18" s="85"/>
      <c r="AL18" s="83"/>
      <c r="AM18" s="84"/>
      <c r="AN18" s="85"/>
      <c r="AO18" s="38"/>
      <c r="AP18" s="35"/>
      <c r="AQ18" s="78">
        <f t="shared" si="0"/>
        <v>0</v>
      </c>
      <c r="AR18" s="37"/>
      <c r="AS18" s="78">
        <f t="shared" si="1"/>
        <v>0</v>
      </c>
      <c r="AT18" s="37"/>
      <c r="AU18" s="37"/>
      <c r="AV18" s="37"/>
      <c r="AW18" s="37"/>
      <c r="AX18" s="37"/>
    </row>
    <row r="19" spans="1:50" ht="20.100000000000001" customHeight="1" x14ac:dyDescent="0.25">
      <c r="A19" s="35">
        <v>14</v>
      </c>
      <c r="B19" s="36"/>
      <c r="C19" s="37"/>
      <c r="D19" s="97"/>
      <c r="E19" s="98"/>
      <c r="F19" s="101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3"/>
      <c r="T19" s="83"/>
      <c r="U19" s="85"/>
      <c r="V19" s="83"/>
      <c r="W19" s="85"/>
      <c r="X19" s="97"/>
      <c r="Y19" s="100"/>
      <c r="Z19" s="100"/>
      <c r="AA19" s="100"/>
      <c r="AB19" s="100"/>
      <c r="AC19" s="100"/>
      <c r="AD19" s="98"/>
      <c r="AE19" s="83"/>
      <c r="AF19" s="84"/>
      <c r="AG19" s="85"/>
      <c r="AH19" s="83"/>
      <c r="AI19" s="84"/>
      <c r="AJ19" s="84"/>
      <c r="AK19" s="85"/>
      <c r="AL19" s="83"/>
      <c r="AM19" s="84"/>
      <c r="AN19" s="85"/>
      <c r="AO19" s="38"/>
      <c r="AP19" s="35"/>
      <c r="AQ19" s="78">
        <f t="shared" si="0"/>
        <v>0</v>
      </c>
      <c r="AR19" s="37"/>
      <c r="AS19" s="78">
        <f t="shared" si="1"/>
        <v>0</v>
      </c>
      <c r="AT19" s="37"/>
      <c r="AU19" s="37"/>
      <c r="AV19" s="37"/>
      <c r="AW19" s="37"/>
      <c r="AX19" s="37"/>
    </row>
    <row r="20" spans="1:50" ht="20.100000000000001" customHeight="1" x14ac:dyDescent="0.25">
      <c r="A20" s="35">
        <v>15</v>
      </c>
      <c r="B20" s="36"/>
      <c r="C20" s="37"/>
      <c r="D20" s="97"/>
      <c r="E20" s="98"/>
      <c r="F20" s="101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3"/>
      <c r="T20" s="83"/>
      <c r="U20" s="85"/>
      <c r="V20" s="83"/>
      <c r="W20" s="85"/>
      <c r="X20" s="97"/>
      <c r="Y20" s="100"/>
      <c r="Z20" s="100"/>
      <c r="AA20" s="100"/>
      <c r="AB20" s="100"/>
      <c r="AC20" s="100"/>
      <c r="AD20" s="98"/>
      <c r="AE20" s="83"/>
      <c r="AF20" s="84"/>
      <c r="AG20" s="85"/>
      <c r="AH20" s="83"/>
      <c r="AI20" s="84"/>
      <c r="AJ20" s="84"/>
      <c r="AK20" s="85"/>
      <c r="AL20" s="83"/>
      <c r="AM20" s="84"/>
      <c r="AN20" s="85"/>
      <c r="AO20" s="38"/>
      <c r="AP20" s="35"/>
      <c r="AQ20" s="78">
        <f t="shared" si="0"/>
        <v>0</v>
      </c>
      <c r="AR20" s="37"/>
      <c r="AS20" s="78">
        <f t="shared" si="1"/>
        <v>0</v>
      </c>
      <c r="AT20" s="37"/>
      <c r="AU20" s="37"/>
      <c r="AV20" s="37"/>
      <c r="AW20" s="37"/>
      <c r="AX20" s="37"/>
    </row>
    <row r="21" spans="1:50" ht="20.100000000000001" customHeight="1" x14ac:dyDescent="0.25">
      <c r="A21" s="35">
        <v>16</v>
      </c>
      <c r="B21" s="36"/>
      <c r="C21" s="37"/>
      <c r="D21" s="97"/>
      <c r="E21" s="98"/>
      <c r="F21" s="101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3"/>
      <c r="T21" s="83"/>
      <c r="U21" s="85"/>
      <c r="V21" s="83"/>
      <c r="W21" s="85"/>
      <c r="X21" s="97"/>
      <c r="Y21" s="100"/>
      <c r="Z21" s="100"/>
      <c r="AA21" s="100"/>
      <c r="AB21" s="100"/>
      <c r="AC21" s="100"/>
      <c r="AD21" s="98"/>
      <c r="AE21" s="83"/>
      <c r="AF21" s="84"/>
      <c r="AG21" s="85"/>
      <c r="AH21" s="83"/>
      <c r="AI21" s="84"/>
      <c r="AJ21" s="84"/>
      <c r="AK21" s="85"/>
      <c r="AL21" s="83"/>
      <c r="AM21" s="84"/>
      <c r="AN21" s="85"/>
      <c r="AO21" s="38"/>
      <c r="AP21" s="35"/>
      <c r="AQ21" s="78">
        <f t="shared" si="0"/>
        <v>0</v>
      </c>
      <c r="AR21" s="37"/>
      <c r="AS21" s="78">
        <f t="shared" si="1"/>
        <v>0</v>
      </c>
      <c r="AT21" s="37"/>
      <c r="AU21" s="37"/>
      <c r="AV21" s="37"/>
      <c r="AW21" s="37"/>
      <c r="AX21" s="37"/>
    </row>
    <row r="22" spans="1:50" ht="20.100000000000001" customHeight="1" x14ac:dyDescent="0.25">
      <c r="A22" s="35">
        <v>17</v>
      </c>
      <c r="B22" s="47"/>
      <c r="C22" s="37"/>
      <c r="D22" s="97"/>
      <c r="E22" s="98"/>
      <c r="F22" s="101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3"/>
      <c r="T22" s="83"/>
      <c r="U22" s="85"/>
      <c r="V22" s="83"/>
      <c r="W22" s="85"/>
      <c r="X22" s="97"/>
      <c r="Y22" s="100"/>
      <c r="Z22" s="100"/>
      <c r="AA22" s="100"/>
      <c r="AB22" s="100"/>
      <c r="AC22" s="100"/>
      <c r="AD22" s="98"/>
      <c r="AE22" s="83"/>
      <c r="AF22" s="84"/>
      <c r="AG22" s="85"/>
      <c r="AH22" s="83"/>
      <c r="AI22" s="84"/>
      <c r="AJ22" s="84"/>
      <c r="AK22" s="85"/>
      <c r="AL22" s="83"/>
      <c r="AM22" s="84"/>
      <c r="AN22" s="85"/>
      <c r="AO22" s="48"/>
      <c r="AP22" s="47"/>
      <c r="AQ22" s="78">
        <f t="shared" si="0"/>
        <v>0</v>
      </c>
      <c r="AR22" s="37"/>
      <c r="AS22" s="78">
        <f t="shared" si="1"/>
        <v>0</v>
      </c>
      <c r="AT22" s="37"/>
      <c r="AU22" s="37"/>
      <c r="AV22" s="37"/>
      <c r="AW22" s="37"/>
      <c r="AX22" s="37"/>
    </row>
    <row r="23" spans="1:50" ht="20.100000000000001" customHeight="1" x14ac:dyDescent="0.25">
      <c r="A23" s="35">
        <v>18</v>
      </c>
      <c r="B23" s="36"/>
      <c r="C23" s="37"/>
      <c r="D23" s="97"/>
      <c r="E23" s="98"/>
      <c r="F23" s="101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3"/>
      <c r="T23" s="83"/>
      <c r="U23" s="85"/>
      <c r="V23" s="83"/>
      <c r="W23" s="85"/>
      <c r="X23" s="97"/>
      <c r="Y23" s="100"/>
      <c r="Z23" s="100"/>
      <c r="AA23" s="100"/>
      <c r="AB23" s="100"/>
      <c r="AC23" s="100"/>
      <c r="AD23" s="98"/>
      <c r="AE23" s="83"/>
      <c r="AF23" s="84"/>
      <c r="AG23" s="85"/>
      <c r="AH23" s="83"/>
      <c r="AI23" s="84"/>
      <c r="AJ23" s="84"/>
      <c r="AK23" s="85"/>
      <c r="AL23" s="83"/>
      <c r="AM23" s="84"/>
      <c r="AN23" s="85"/>
      <c r="AO23" s="38"/>
      <c r="AP23" s="35"/>
      <c r="AQ23" s="78">
        <f t="shared" si="0"/>
        <v>0</v>
      </c>
      <c r="AR23" s="37"/>
      <c r="AS23" s="78">
        <f t="shared" si="1"/>
        <v>0</v>
      </c>
      <c r="AT23" s="37"/>
      <c r="AU23" s="37"/>
      <c r="AV23" s="37"/>
      <c r="AW23" s="37"/>
      <c r="AX23" s="37"/>
    </row>
    <row r="24" spans="1:50" ht="20.100000000000001" customHeight="1" x14ac:dyDescent="0.25">
      <c r="A24" s="35">
        <v>19</v>
      </c>
      <c r="B24" s="36"/>
      <c r="C24" s="37"/>
      <c r="D24" s="97"/>
      <c r="E24" s="98"/>
      <c r="F24" s="10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3"/>
      <c r="T24" s="83"/>
      <c r="U24" s="85"/>
      <c r="V24" s="83"/>
      <c r="W24" s="85"/>
      <c r="X24" s="97"/>
      <c r="Y24" s="100"/>
      <c r="Z24" s="100"/>
      <c r="AA24" s="100"/>
      <c r="AB24" s="100"/>
      <c r="AC24" s="100"/>
      <c r="AD24" s="98"/>
      <c r="AE24" s="83"/>
      <c r="AF24" s="84"/>
      <c r="AG24" s="85"/>
      <c r="AH24" s="83"/>
      <c r="AI24" s="84"/>
      <c r="AJ24" s="84"/>
      <c r="AK24" s="85"/>
      <c r="AL24" s="83"/>
      <c r="AM24" s="84"/>
      <c r="AN24" s="85"/>
      <c r="AO24" s="38"/>
      <c r="AP24" s="35"/>
      <c r="AQ24" s="78">
        <f t="shared" si="0"/>
        <v>0</v>
      </c>
      <c r="AR24" s="37"/>
      <c r="AS24" s="78">
        <f t="shared" si="1"/>
        <v>0</v>
      </c>
      <c r="AT24" s="37"/>
      <c r="AU24" s="37"/>
      <c r="AV24" s="37"/>
      <c r="AW24" s="37"/>
      <c r="AX24" s="37"/>
    </row>
    <row r="25" spans="1:50" ht="20.100000000000001" customHeight="1" x14ac:dyDescent="0.25">
      <c r="A25" s="35">
        <v>20</v>
      </c>
      <c r="B25" s="36"/>
      <c r="C25" s="37"/>
      <c r="D25" s="97"/>
      <c r="E25" s="98"/>
      <c r="F25" s="101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3"/>
      <c r="T25" s="83"/>
      <c r="U25" s="85"/>
      <c r="V25" s="83"/>
      <c r="W25" s="85"/>
      <c r="X25" s="97"/>
      <c r="Y25" s="100"/>
      <c r="Z25" s="100"/>
      <c r="AA25" s="100"/>
      <c r="AB25" s="100"/>
      <c r="AC25" s="100"/>
      <c r="AD25" s="98"/>
      <c r="AE25" s="83"/>
      <c r="AF25" s="84"/>
      <c r="AG25" s="85"/>
      <c r="AH25" s="83"/>
      <c r="AI25" s="84"/>
      <c r="AJ25" s="84"/>
      <c r="AK25" s="85"/>
      <c r="AL25" s="83"/>
      <c r="AM25" s="84"/>
      <c r="AN25" s="85"/>
      <c r="AO25" s="38"/>
      <c r="AP25" s="35"/>
      <c r="AQ25" s="78">
        <f t="shared" si="0"/>
        <v>0</v>
      </c>
      <c r="AR25" s="37"/>
      <c r="AS25" s="78">
        <f t="shared" si="1"/>
        <v>0</v>
      </c>
      <c r="AT25" s="37"/>
      <c r="AU25" s="37"/>
      <c r="AV25" s="37"/>
      <c r="AW25" s="37"/>
      <c r="AX25" s="37"/>
    </row>
    <row r="26" spans="1:50" ht="20.100000000000001" customHeight="1" x14ac:dyDescent="0.25">
      <c r="A26" s="35">
        <v>21</v>
      </c>
      <c r="B26" s="36"/>
      <c r="C26" s="37"/>
      <c r="D26" s="97"/>
      <c r="E26" s="98"/>
      <c r="F26" s="101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3"/>
      <c r="T26" s="83"/>
      <c r="U26" s="85"/>
      <c r="V26" s="83"/>
      <c r="W26" s="85"/>
      <c r="X26" s="97"/>
      <c r="Y26" s="100"/>
      <c r="Z26" s="100"/>
      <c r="AA26" s="100"/>
      <c r="AB26" s="100"/>
      <c r="AC26" s="100"/>
      <c r="AD26" s="98"/>
      <c r="AE26" s="83"/>
      <c r="AF26" s="84"/>
      <c r="AG26" s="85"/>
      <c r="AH26" s="83"/>
      <c r="AI26" s="84"/>
      <c r="AJ26" s="84"/>
      <c r="AK26" s="85"/>
      <c r="AL26" s="83"/>
      <c r="AM26" s="84"/>
      <c r="AN26" s="85"/>
      <c r="AO26" s="38"/>
      <c r="AP26" s="35"/>
      <c r="AQ26" s="78">
        <f t="shared" si="0"/>
        <v>0</v>
      </c>
      <c r="AR26" s="37"/>
      <c r="AS26" s="78">
        <f t="shared" si="1"/>
        <v>0</v>
      </c>
      <c r="AT26" s="37"/>
      <c r="AU26" s="37"/>
      <c r="AV26" s="37"/>
      <c r="AW26" s="37"/>
      <c r="AX26" s="37"/>
    </row>
    <row r="27" spans="1:50" ht="20.100000000000001" customHeight="1" x14ac:dyDescent="0.25">
      <c r="A27" s="35">
        <v>22</v>
      </c>
      <c r="B27" s="36"/>
      <c r="C27" s="37"/>
      <c r="D27" s="97"/>
      <c r="E27" s="98"/>
      <c r="F27" s="101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3"/>
      <c r="T27" s="83"/>
      <c r="U27" s="85"/>
      <c r="V27" s="83"/>
      <c r="W27" s="85"/>
      <c r="X27" s="97"/>
      <c r="Y27" s="100"/>
      <c r="Z27" s="100"/>
      <c r="AA27" s="100"/>
      <c r="AB27" s="100"/>
      <c r="AC27" s="100"/>
      <c r="AD27" s="98"/>
      <c r="AE27" s="83"/>
      <c r="AF27" s="84"/>
      <c r="AG27" s="85"/>
      <c r="AH27" s="83"/>
      <c r="AI27" s="84"/>
      <c r="AJ27" s="84"/>
      <c r="AK27" s="85"/>
      <c r="AL27" s="83"/>
      <c r="AM27" s="84"/>
      <c r="AN27" s="85"/>
      <c r="AO27" s="38"/>
      <c r="AP27" s="35"/>
      <c r="AQ27" s="78">
        <f t="shared" si="0"/>
        <v>0</v>
      </c>
      <c r="AR27" s="37"/>
      <c r="AS27" s="78">
        <f t="shared" si="1"/>
        <v>0</v>
      </c>
      <c r="AT27" s="37"/>
      <c r="AU27" s="37"/>
      <c r="AV27" s="37"/>
      <c r="AW27" s="37"/>
      <c r="AX27" s="37"/>
    </row>
    <row r="28" spans="1:50" ht="20.100000000000001" customHeight="1" x14ac:dyDescent="0.25">
      <c r="A28" s="35">
        <v>23</v>
      </c>
      <c r="B28" s="36"/>
      <c r="C28" s="37"/>
      <c r="D28" s="97"/>
      <c r="E28" s="98"/>
      <c r="F28" s="101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3"/>
      <c r="T28" s="83"/>
      <c r="U28" s="85"/>
      <c r="V28" s="83"/>
      <c r="W28" s="85"/>
      <c r="X28" s="97"/>
      <c r="Y28" s="100"/>
      <c r="Z28" s="100"/>
      <c r="AA28" s="100"/>
      <c r="AB28" s="100"/>
      <c r="AC28" s="100"/>
      <c r="AD28" s="98"/>
      <c r="AE28" s="83"/>
      <c r="AF28" s="84"/>
      <c r="AG28" s="85"/>
      <c r="AH28" s="83"/>
      <c r="AI28" s="84"/>
      <c r="AJ28" s="84"/>
      <c r="AK28" s="85"/>
      <c r="AL28" s="83"/>
      <c r="AM28" s="84"/>
      <c r="AN28" s="85"/>
      <c r="AO28" s="38"/>
      <c r="AP28" s="35"/>
      <c r="AQ28" s="78">
        <f t="shared" si="0"/>
        <v>0</v>
      </c>
      <c r="AR28" s="37"/>
      <c r="AS28" s="78">
        <f t="shared" si="1"/>
        <v>0</v>
      </c>
      <c r="AT28" s="37"/>
      <c r="AU28" s="37"/>
      <c r="AV28" s="37"/>
      <c r="AW28" s="37"/>
      <c r="AX28" s="37"/>
    </row>
    <row r="29" spans="1:50" ht="20.100000000000001" customHeight="1" x14ac:dyDescent="0.25">
      <c r="A29" s="35">
        <v>24</v>
      </c>
      <c r="B29" s="36"/>
      <c r="C29" s="37"/>
      <c r="D29" s="97"/>
      <c r="E29" s="98"/>
      <c r="F29" s="101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3"/>
      <c r="T29" s="83"/>
      <c r="U29" s="85"/>
      <c r="V29" s="83"/>
      <c r="W29" s="85"/>
      <c r="X29" s="97"/>
      <c r="Y29" s="100"/>
      <c r="Z29" s="100"/>
      <c r="AA29" s="100"/>
      <c r="AB29" s="100"/>
      <c r="AC29" s="100"/>
      <c r="AD29" s="98"/>
      <c r="AE29" s="83"/>
      <c r="AF29" s="84"/>
      <c r="AG29" s="85"/>
      <c r="AH29" s="83"/>
      <c r="AI29" s="84"/>
      <c r="AJ29" s="84"/>
      <c r="AK29" s="85"/>
      <c r="AL29" s="83"/>
      <c r="AM29" s="84"/>
      <c r="AN29" s="85"/>
      <c r="AO29" s="38"/>
      <c r="AP29" s="35"/>
      <c r="AQ29" s="78">
        <f t="shared" si="0"/>
        <v>0</v>
      </c>
      <c r="AR29" s="37"/>
      <c r="AS29" s="78">
        <f t="shared" si="1"/>
        <v>0</v>
      </c>
      <c r="AT29" s="37"/>
      <c r="AU29" s="37"/>
      <c r="AV29" s="37"/>
      <c r="AW29" s="37"/>
      <c r="AX29" s="37"/>
    </row>
    <row r="30" spans="1:50" ht="20.100000000000001" customHeight="1" x14ac:dyDescent="0.25">
      <c r="A30" s="35">
        <v>25</v>
      </c>
      <c r="B30" s="36"/>
      <c r="C30" s="37"/>
      <c r="D30" s="97"/>
      <c r="E30" s="98"/>
      <c r="F30" s="101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3"/>
      <c r="T30" s="83"/>
      <c r="U30" s="85"/>
      <c r="V30" s="83"/>
      <c r="W30" s="85"/>
      <c r="X30" s="97"/>
      <c r="Y30" s="100"/>
      <c r="Z30" s="100"/>
      <c r="AA30" s="100"/>
      <c r="AB30" s="100"/>
      <c r="AC30" s="100"/>
      <c r="AD30" s="98"/>
      <c r="AE30" s="83"/>
      <c r="AF30" s="84"/>
      <c r="AG30" s="85"/>
      <c r="AH30" s="83"/>
      <c r="AI30" s="84"/>
      <c r="AJ30" s="84"/>
      <c r="AK30" s="85"/>
      <c r="AL30" s="83"/>
      <c r="AM30" s="84"/>
      <c r="AN30" s="85"/>
      <c r="AO30" s="38"/>
      <c r="AP30" s="35"/>
      <c r="AQ30" s="78">
        <f t="shared" si="0"/>
        <v>0</v>
      </c>
      <c r="AR30" s="37"/>
      <c r="AS30" s="78">
        <f t="shared" si="1"/>
        <v>0</v>
      </c>
      <c r="AT30" s="37"/>
      <c r="AU30" s="37"/>
      <c r="AV30" s="37"/>
      <c r="AW30" s="37"/>
      <c r="AX30" s="37"/>
    </row>
    <row r="31" spans="1:50" ht="20.100000000000001" customHeight="1" x14ac:dyDescent="0.25">
      <c r="A31" s="35">
        <v>26</v>
      </c>
      <c r="B31" s="36"/>
      <c r="C31" s="37"/>
      <c r="D31" s="97"/>
      <c r="E31" s="98"/>
      <c r="F31" s="101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3"/>
      <c r="T31" s="83"/>
      <c r="U31" s="85"/>
      <c r="V31" s="83"/>
      <c r="W31" s="85"/>
      <c r="X31" s="97"/>
      <c r="Y31" s="100"/>
      <c r="Z31" s="100"/>
      <c r="AA31" s="100"/>
      <c r="AB31" s="100"/>
      <c r="AC31" s="100"/>
      <c r="AD31" s="98"/>
      <c r="AE31" s="83"/>
      <c r="AF31" s="84"/>
      <c r="AG31" s="85"/>
      <c r="AH31" s="83"/>
      <c r="AI31" s="84"/>
      <c r="AJ31" s="84"/>
      <c r="AK31" s="85"/>
      <c r="AL31" s="83"/>
      <c r="AM31" s="84"/>
      <c r="AN31" s="85"/>
      <c r="AO31" s="38"/>
      <c r="AP31" s="35"/>
      <c r="AQ31" s="78">
        <f t="shared" si="0"/>
        <v>0</v>
      </c>
      <c r="AR31" s="37"/>
      <c r="AS31" s="78">
        <f t="shared" si="1"/>
        <v>0</v>
      </c>
      <c r="AT31" s="37"/>
      <c r="AU31" s="37"/>
      <c r="AV31" s="37"/>
      <c r="AW31" s="37"/>
      <c r="AX31" s="37"/>
    </row>
    <row r="32" spans="1:50" ht="20.100000000000001" customHeight="1" x14ac:dyDescent="0.25">
      <c r="A32" s="35">
        <v>27</v>
      </c>
      <c r="B32" s="36"/>
      <c r="C32" s="37"/>
      <c r="D32" s="97"/>
      <c r="E32" s="98"/>
      <c r="F32" s="101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3"/>
      <c r="T32" s="83"/>
      <c r="U32" s="85"/>
      <c r="V32" s="83"/>
      <c r="W32" s="85"/>
      <c r="X32" s="97"/>
      <c r="Y32" s="100"/>
      <c r="Z32" s="100"/>
      <c r="AA32" s="100"/>
      <c r="AB32" s="100"/>
      <c r="AC32" s="100"/>
      <c r="AD32" s="98"/>
      <c r="AE32" s="83"/>
      <c r="AF32" s="84"/>
      <c r="AG32" s="85"/>
      <c r="AH32" s="83"/>
      <c r="AI32" s="84"/>
      <c r="AJ32" s="84"/>
      <c r="AK32" s="85"/>
      <c r="AL32" s="83"/>
      <c r="AM32" s="84"/>
      <c r="AN32" s="85"/>
      <c r="AO32" s="38"/>
      <c r="AP32" s="35"/>
      <c r="AQ32" s="78">
        <f t="shared" si="0"/>
        <v>0</v>
      </c>
      <c r="AR32" s="37"/>
      <c r="AS32" s="78">
        <f t="shared" si="1"/>
        <v>0</v>
      </c>
      <c r="AT32" s="37"/>
      <c r="AU32" s="37"/>
      <c r="AV32" s="37"/>
      <c r="AW32" s="37"/>
      <c r="AX32" s="37"/>
    </row>
    <row r="33" spans="1:51" ht="20.100000000000001" customHeight="1" x14ac:dyDescent="0.25">
      <c r="A33" s="35">
        <v>28</v>
      </c>
      <c r="B33" s="36"/>
      <c r="C33" s="37"/>
      <c r="D33" s="97"/>
      <c r="E33" s="98"/>
      <c r="F33" s="101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3"/>
      <c r="T33" s="83"/>
      <c r="U33" s="85"/>
      <c r="V33" s="83"/>
      <c r="W33" s="85"/>
      <c r="X33" s="97"/>
      <c r="Y33" s="100"/>
      <c r="Z33" s="100"/>
      <c r="AA33" s="100"/>
      <c r="AB33" s="100"/>
      <c r="AC33" s="100"/>
      <c r="AD33" s="98"/>
      <c r="AE33" s="83"/>
      <c r="AF33" s="84"/>
      <c r="AG33" s="85"/>
      <c r="AH33" s="83"/>
      <c r="AI33" s="84"/>
      <c r="AJ33" s="84"/>
      <c r="AK33" s="85"/>
      <c r="AL33" s="83"/>
      <c r="AM33" s="84"/>
      <c r="AN33" s="85"/>
      <c r="AO33" s="38"/>
      <c r="AP33" s="35"/>
      <c r="AQ33" s="78">
        <f t="shared" si="0"/>
        <v>0</v>
      </c>
      <c r="AR33" s="37"/>
      <c r="AS33" s="78">
        <f t="shared" si="1"/>
        <v>0</v>
      </c>
      <c r="AT33" s="37"/>
      <c r="AU33" s="37"/>
      <c r="AV33" s="37"/>
      <c r="AW33" s="37"/>
      <c r="AX33" s="37"/>
    </row>
    <row r="34" spans="1:51" s="52" customFormat="1" ht="20.100000000000001" customHeight="1" x14ac:dyDescent="0.25">
      <c r="A34" s="35">
        <v>29</v>
      </c>
      <c r="B34" s="49"/>
      <c r="C34" s="37"/>
      <c r="D34" s="97"/>
      <c r="E34" s="98"/>
      <c r="F34" s="101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3"/>
      <c r="T34" s="83"/>
      <c r="U34" s="85"/>
      <c r="V34" s="83"/>
      <c r="W34" s="85"/>
      <c r="X34" s="97"/>
      <c r="Y34" s="100"/>
      <c r="Z34" s="100"/>
      <c r="AA34" s="100"/>
      <c r="AB34" s="100"/>
      <c r="AC34" s="100"/>
      <c r="AD34" s="98"/>
      <c r="AE34" s="83"/>
      <c r="AF34" s="84"/>
      <c r="AG34" s="85"/>
      <c r="AH34" s="83"/>
      <c r="AI34" s="84"/>
      <c r="AJ34" s="84"/>
      <c r="AK34" s="85"/>
      <c r="AL34" s="83"/>
      <c r="AM34" s="84"/>
      <c r="AN34" s="85"/>
      <c r="AO34" s="50"/>
      <c r="AP34" s="49"/>
      <c r="AQ34" s="78">
        <f t="shared" si="0"/>
        <v>0</v>
      </c>
      <c r="AR34" s="37"/>
      <c r="AS34" s="78">
        <f t="shared" si="1"/>
        <v>0</v>
      </c>
      <c r="AT34" s="51"/>
      <c r="AU34" s="37"/>
      <c r="AV34" s="37"/>
      <c r="AW34" s="51"/>
      <c r="AX34" s="51"/>
      <c r="AY34" s="20"/>
    </row>
    <row r="35" spans="1:51" ht="20.100000000000001" customHeight="1" x14ac:dyDescent="0.25">
      <c r="A35" s="35">
        <v>30</v>
      </c>
      <c r="B35" s="36"/>
      <c r="C35" s="37"/>
      <c r="D35" s="97"/>
      <c r="E35" s="98"/>
      <c r="F35" s="101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3"/>
      <c r="T35" s="83"/>
      <c r="U35" s="85"/>
      <c r="V35" s="83"/>
      <c r="W35" s="85"/>
      <c r="X35" s="97"/>
      <c r="Y35" s="100"/>
      <c r="Z35" s="100"/>
      <c r="AA35" s="100"/>
      <c r="AB35" s="100"/>
      <c r="AC35" s="100"/>
      <c r="AD35" s="98"/>
      <c r="AE35" s="83"/>
      <c r="AF35" s="84"/>
      <c r="AG35" s="85"/>
      <c r="AH35" s="83"/>
      <c r="AI35" s="84"/>
      <c r="AJ35" s="84"/>
      <c r="AK35" s="85"/>
      <c r="AL35" s="83"/>
      <c r="AM35" s="84"/>
      <c r="AN35" s="85"/>
      <c r="AO35" s="38"/>
      <c r="AP35" s="35"/>
      <c r="AQ35" s="78">
        <f t="shared" si="0"/>
        <v>0</v>
      </c>
      <c r="AR35" s="37"/>
      <c r="AS35" s="78">
        <f t="shared" si="1"/>
        <v>0</v>
      </c>
      <c r="AT35" s="37"/>
      <c r="AU35" s="37"/>
      <c r="AV35" s="37"/>
      <c r="AW35" s="37"/>
      <c r="AX35" s="37"/>
    </row>
    <row r="36" spans="1:51" ht="20.100000000000001" customHeight="1" x14ac:dyDescent="0.25">
      <c r="A36" s="35">
        <v>31</v>
      </c>
      <c r="B36" s="36"/>
      <c r="C36" s="37"/>
      <c r="D36" s="97"/>
      <c r="E36" s="98"/>
      <c r="F36" s="101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3"/>
      <c r="T36" s="83"/>
      <c r="U36" s="85"/>
      <c r="V36" s="83"/>
      <c r="W36" s="85"/>
      <c r="X36" s="97"/>
      <c r="Y36" s="100"/>
      <c r="Z36" s="100"/>
      <c r="AA36" s="100"/>
      <c r="AB36" s="100"/>
      <c r="AC36" s="100"/>
      <c r="AD36" s="98"/>
      <c r="AE36" s="83"/>
      <c r="AF36" s="84"/>
      <c r="AG36" s="85"/>
      <c r="AH36" s="83"/>
      <c r="AI36" s="84"/>
      <c r="AJ36" s="84"/>
      <c r="AK36" s="85"/>
      <c r="AL36" s="83"/>
      <c r="AM36" s="84"/>
      <c r="AN36" s="85"/>
      <c r="AO36" s="38"/>
      <c r="AP36" s="35"/>
      <c r="AQ36" s="78">
        <f t="shared" si="0"/>
        <v>0</v>
      </c>
      <c r="AR36" s="37"/>
      <c r="AS36" s="78">
        <f t="shared" si="1"/>
        <v>0</v>
      </c>
      <c r="AT36" s="37"/>
      <c r="AU36" s="37"/>
      <c r="AV36" s="37"/>
      <c r="AW36" s="37"/>
      <c r="AX36" s="37"/>
    </row>
    <row r="37" spans="1:51" ht="20.100000000000001" customHeight="1" x14ac:dyDescent="0.25">
      <c r="A37" s="35">
        <v>32</v>
      </c>
      <c r="B37" s="36"/>
      <c r="C37" s="37"/>
      <c r="D37" s="97"/>
      <c r="E37" s="98"/>
      <c r="F37" s="101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3"/>
      <c r="T37" s="83"/>
      <c r="U37" s="85"/>
      <c r="V37" s="83"/>
      <c r="W37" s="85"/>
      <c r="X37" s="97"/>
      <c r="Y37" s="100"/>
      <c r="Z37" s="100"/>
      <c r="AA37" s="100"/>
      <c r="AB37" s="100"/>
      <c r="AC37" s="100"/>
      <c r="AD37" s="98"/>
      <c r="AE37" s="83"/>
      <c r="AF37" s="84"/>
      <c r="AG37" s="85"/>
      <c r="AH37" s="83"/>
      <c r="AI37" s="84"/>
      <c r="AJ37" s="84"/>
      <c r="AK37" s="85"/>
      <c r="AL37" s="83"/>
      <c r="AM37" s="84"/>
      <c r="AN37" s="85"/>
      <c r="AO37" s="38"/>
      <c r="AP37" s="35"/>
      <c r="AQ37" s="78">
        <f t="shared" si="0"/>
        <v>0</v>
      </c>
      <c r="AR37" s="37"/>
      <c r="AS37" s="78">
        <f t="shared" si="1"/>
        <v>0</v>
      </c>
      <c r="AT37" s="37"/>
      <c r="AU37" s="37"/>
      <c r="AV37" s="37"/>
      <c r="AW37" s="37"/>
      <c r="AX37" s="37"/>
    </row>
    <row r="38" spans="1:51" ht="20.100000000000001" customHeight="1" x14ac:dyDescent="0.25">
      <c r="A38" s="35">
        <v>33</v>
      </c>
      <c r="B38" s="36"/>
      <c r="C38" s="37"/>
      <c r="D38" s="97"/>
      <c r="E38" s="98"/>
      <c r="F38" s="101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3"/>
      <c r="T38" s="83"/>
      <c r="U38" s="85"/>
      <c r="V38" s="83"/>
      <c r="W38" s="85"/>
      <c r="X38" s="97"/>
      <c r="Y38" s="100"/>
      <c r="Z38" s="100"/>
      <c r="AA38" s="100"/>
      <c r="AB38" s="100"/>
      <c r="AC38" s="100"/>
      <c r="AD38" s="98"/>
      <c r="AE38" s="83"/>
      <c r="AF38" s="84"/>
      <c r="AG38" s="85"/>
      <c r="AH38" s="83"/>
      <c r="AI38" s="84"/>
      <c r="AJ38" s="84"/>
      <c r="AK38" s="85"/>
      <c r="AL38" s="83"/>
      <c r="AM38" s="84"/>
      <c r="AN38" s="85"/>
      <c r="AO38" s="38"/>
      <c r="AP38" s="35"/>
      <c r="AQ38" s="78">
        <f t="shared" si="0"/>
        <v>0</v>
      </c>
      <c r="AR38" s="37"/>
      <c r="AS38" s="78">
        <f t="shared" si="1"/>
        <v>0</v>
      </c>
      <c r="AT38" s="37"/>
      <c r="AU38" s="37"/>
      <c r="AV38" s="37"/>
      <c r="AW38" s="37"/>
      <c r="AX38" s="37"/>
    </row>
    <row r="39" spans="1:51" ht="20.100000000000001" customHeight="1" x14ac:dyDescent="0.25">
      <c r="A39" s="35">
        <v>34</v>
      </c>
      <c r="B39" s="36"/>
      <c r="C39" s="37"/>
      <c r="D39" s="97"/>
      <c r="E39" s="98"/>
      <c r="F39" s="101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3"/>
      <c r="T39" s="83"/>
      <c r="U39" s="85"/>
      <c r="V39" s="83"/>
      <c r="W39" s="85"/>
      <c r="X39" s="97"/>
      <c r="Y39" s="100"/>
      <c r="Z39" s="100"/>
      <c r="AA39" s="100"/>
      <c r="AB39" s="100"/>
      <c r="AC39" s="100"/>
      <c r="AD39" s="98"/>
      <c r="AE39" s="83"/>
      <c r="AF39" s="84"/>
      <c r="AG39" s="85"/>
      <c r="AH39" s="83"/>
      <c r="AI39" s="84"/>
      <c r="AJ39" s="84"/>
      <c r="AK39" s="85"/>
      <c r="AL39" s="83"/>
      <c r="AM39" s="84"/>
      <c r="AN39" s="85"/>
      <c r="AO39" s="38"/>
      <c r="AP39" s="35"/>
      <c r="AQ39" s="78">
        <f t="shared" si="0"/>
        <v>0</v>
      </c>
      <c r="AR39" s="37"/>
      <c r="AS39" s="78">
        <f t="shared" si="1"/>
        <v>0</v>
      </c>
      <c r="AT39" s="37"/>
      <c r="AU39" s="37"/>
      <c r="AV39" s="37"/>
      <c r="AW39" s="37"/>
      <c r="AX39" s="37"/>
    </row>
    <row r="40" spans="1:51" ht="20.100000000000001" customHeight="1" x14ac:dyDescent="0.25">
      <c r="A40" s="35">
        <v>35</v>
      </c>
      <c r="B40" s="36"/>
      <c r="C40" s="37"/>
      <c r="D40" s="97"/>
      <c r="E40" s="98"/>
      <c r="F40" s="101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83"/>
      <c r="U40" s="85"/>
      <c r="V40" s="83"/>
      <c r="W40" s="85"/>
      <c r="X40" s="97"/>
      <c r="Y40" s="100"/>
      <c r="Z40" s="100"/>
      <c r="AA40" s="100"/>
      <c r="AB40" s="100"/>
      <c r="AC40" s="100"/>
      <c r="AD40" s="98"/>
      <c r="AE40" s="83"/>
      <c r="AF40" s="84"/>
      <c r="AG40" s="85"/>
      <c r="AH40" s="83"/>
      <c r="AI40" s="84"/>
      <c r="AJ40" s="84"/>
      <c r="AK40" s="85"/>
      <c r="AL40" s="83"/>
      <c r="AM40" s="84"/>
      <c r="AN40" s="85"/>
      <c r="AO40" s="38"/>
      <c r="AP40" s="35"/>
      <c r="AQ40" s="78">
        <f t="shared" si="0"/>
        <v>0</v>
      </c>
      <c r="AR40" s="37"/>
      <c r="AS40" s="78">
        <f t="shared" si="1"/>
        <v>0</v>
      </c>
      <c r="AT40" s="37"/>
      <c r="AU40" s="37"/>
      <c r="AV40" s="37"/>
      <c r="AW40" s="37"/>
      <c r="AX40" s="37"/>
    </row>
    <row r="41" spans="1:51" ht="20.100000000000001" customHeight="1" x14ac:dyDescent="0.25">
      <c r="A41" s="35">
        <v>36</v>
      </c>
      <c r="B41" s="36"/>
      <c r="C41" s="37"/>
      <c r="D41" s="97"/>
      <c r="E41" s="98"/>
      <c r="F41" s="101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3"/>
      <c r="T41" s="83"/>
      <c r="U41" s="85"/>
      <c r="V41" s="83"/>
      <c r="W41" s="85"/>
      <c r="X41" s="97"/>
      <c r="Y41" s="100"/>
      <c r="Z41" s="100"/>
      <c r="AA41" s="100"/>
      <c r="AB41" s="100"/>
      <c r="AC41" s="100"/>
      <c r="AD41" s="98"/>
      <c r="AE41" s="83"/>
      <c r="AF41" s="84"/>
      <c r="AG41" s="85"/>
      <c r="AH41" s="83"/>
      <c r="AI41" s="84"/>
      <c r="AJ41" s="84"/>
      <c r="AK41" s="85"/>
      <c r="AL41" s="83"/>
      <c r="AM41" s="84"/>
      <c r="AN41" s="85"/>
      <c r="AO41" s="38"/>
      <c r="AP41" s="35"/>
      <c r="AQ41" s="78">
        <f t="shared" si="0"/>
        <v>0</v>
      </c>
      <c r="AR41" s="37"/>
      <c r="AS41" s="78">
        <f t="shared" si="1"/>
        <v>0</v>
      </c>
      <c r="AT41" s="37"/>
      <c r="AU41" s="37"/>
      <c r="AV41" s="37"/>
      <c r="AW41" s="37"/>
      <c r="AX41" s="37"/>
    </row>
    <row r="42" spans="1:51" ht="20.100000000000001" customHeight="1" x14ac:dyDescent="0.25">
      <c r="A42" s="35">
        <v>37</v>
      </c>
      <c r="B42" s="36"/>
      <c r="C42" s="37"/>
      <c r="D42" s="97"/>
      <c r="E42" s="98"/>
      <c r="F42" s="101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83"/>
      <c r="U42" s="85"/>
      <c r="V42" s="83"/>
      <c r="W42" s="85"/>
      <c r="X42" s="97"/>
      <c r="Y42" s="100"/>
      <c r="Z42" s="100"/>
      <c r="AA42" s="100"/>
      <c r="AB42" s="100"/>
      <c r="AC42" s="100"/>
      <c r="AD42" s="98"/>
      <c r="AE42" s="83"/>
      <c r="AF42" s="84"/>
      <c r="AG42" s="85"/>
      <c r="AH42" s="83"/>
      <c r="AI42" s="84"/>
      <c r="AJ42" s="84"/>
      <c r="AK42" s="85"/>
      <c r="AL42" s="83"/>
      <c r="AM42" s="84"/>
      <c r="AN42" s="85"/>
      <c r="AO42" s="38"/>
      <c r="AP42" s="35"/>
      <c r="AQ42" s="78">
        <f t="shared" si="0"/>
        <v>0</v>
      </c>
      <c r="AR42" s="37"/>
      <c r="AS42" s="78">
        <f t="shared" si="1"/>
        <v>0</v>
      </c>
      <c r="AT42" s="37"/>
      <c r="AU42" s="37"/>
      <c r="AV42" s="37"/>
      <c r="AW42" s="37"/>
      <c r="AX42" s="37"/>
    </row>
    <row r="43" spans="1:51" ht="20.100000000000001" customHeight="1" x14ac:dyDescent="0.25">
      <c r="A43" s="35">
        <v>38</v>
      </c>
      <c r="B43" s="36"/>
      <c r="C43" s="37"/>
      <c r="D43" s="97"/>
      <c r="E43" s="98"/>
      <c r="F43" s="101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3"/>
      <c r="T43" s="83"/>
      <c r="U43" s="85"/>
      <c r="V43" s="83"/>
      <c r="W43" s="85"/>
      <c r="X43" s="97"/>
      <c r="Y43" s="100"/>
      <c r="Z43" s="100"/>
      <c r="AA43" s="100"/>
      <c r="AB43" s="100"/>
      <c r="AC43" s="100"/>
      <c r="AD43" s="98"/>
      <c r="AE43" s="83"/>
      <c r="AF43" s="84"/>
      <c r="AG43" s="85"/>
      <c r="AH43" s="83"/>
      <c r="AI43" s="84"/>
      <c r="AJ43" s="84"/>
      <c r="AK43" s="85"/>
      <c r="AL43" s="83"/>
      <c r="AM43" s="84"/>
      <c r="AN43" s="85"/>
      <c r="AO43" s="38"/>
      <c r="AP43" s="35"/>
      <c r="AQ43" s="78">
        <f t="shared" si="0"/>
        <v>0</v>
      </c>
      <c r="AR43" s="37"/>
      <c r="AS43" s="78">
        <f t="shared" si="1"/>
        <v>0</v>
      </c>
      <c r="AT43" s="37"/>
      <c r="AU43" s="37"/>
      <c r="AV43" s="37"/>
      <c r="AW43" s="37"/>
      <c r="AX43" s="37"/>
    </row>
    <row r="44" spans="1:51" ht="20.100000000000001" customHeight="1" x14ac:dyDescent="0.25">
      <c r="A44" s="35">
        <v>39</v>
      </c>
      <c r="B44" s="36"/>
      <c r="C44" s="37"/>
      <c r="D44" s="97"/>
      <c r="E44" s="98"/>
      <c r="F44" s="101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3"/>
      <c r="T44" s="83"/>
      <c r="U44" s="85"/>
      <c r="V44" s="83"/>
      <c r="W44" s="85"/>
      <c r="X44" s="97"/>
      <c r="Y44" s="100"/>
      <c r="Z44" s="100"/>
      <c r="AA44" s="100"/>
      <c r="AB44" s="100"/>
      <c r="AC44" s="100"/>
      <c r="AD44" s="98"/>
      <c r="AE44" s="83"/>
      <c r="AF44" s="84"/>
      <c r="AG44" s="85"/>
      <c r="AH44" s="83"/>
      <c r="AI44" s="84"/>
      <c r="AJ44" s="84"/>
      <c r="AK44" s="85"/>
      <c r="AL44" s="83"/>
      <c r="AM44" s="84"/>
      <c r="AN44" s="85"/>
      <c r="AO44" s="38"/>
      <c r="AP44" s="35"/>
      <c r="AQ44" s="78">
        <f t="shared" si="0"/>
        <v>0</v>
      </c>
      <c r="AR44" s="37"/>
      <c r="AS44" s="78">
        <f t="shared" si="1"/>
        <v>0</v>
      </c>
      <c r="AT44" s="37"/>
      <c r="AU44" s="37"/>
      <c r="AV44" s="37"/>
      <c r="AW44" s="37"/>
      <c r="AX44" s="37"/>
    </row>
    <row r="45" spans="1:51" ht="20.100000000000001" customHeight="1" x14ac:dyDescent="0.25">
      <c r="A45" s="35">
        <v>40</v>
      </c>
      <c r="B45" s="36"/>
      <c r="C45" s="37"/>
      <c r="D45" s="97"/>
      <c r="E45" s="98"/>
      <c r="F45" s="101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3"/>
      <c r="T45" s="83"/>
      <c r="U45" s="85"/>
      <c r="V45" s="83"/>
      <c r="W45" s="85"/>
      <c r="X45" s="97"/>
      <c r="Y45" s="100"/>
      <c r="Z45" s="100"/>
      <c r="AA45" s="100"/>
      <c r="AB45" s="100"/>
      <c r="AC45" s="100"/>
      <c r="AD45" s="98"/>
      <c r="AE45" s="83"/>
      <c r="AF45" s="84"/>
      <c r="AG45" s="85"/>
      <c r="AH45" s="83"/>
      <c r="AI45" s="84"/>
      <c r="AJ45" s="84"/>
      <c r="AK45" s="85"/>
      <c r="AL45" s="83"/>
      <c r="AM45" s="84"/>
      <c r="AN45" s="85"/>
      <c r="AO45" s="38"/>
      <c r="AP45" s="35"/>
      <c r="AQ45" s="78">
        <f t="shared" si="0"/>
        <v>0</v>
      </c>
      <c r="AR45" s="37"/>
      <c r="AS45" s="78">
        <f t="shared" si="1"/>
        <v>0</v>
      </c>
      <c r="AT45" s="37"/>
      <c r="AU45" s="37"/>
      <c r="AV45" s="37"/>
      <c r="AW45" s="37"/>
      <c r="AX45" s="37"/>
    </row>
    <row r="46" spans="1:51" ht="20.100000000000001" customHeight="1" x14ac:dyDescent="0.25">
      <c r="A46" s="35">
        <v>41</v>
      </c>
      <c r="B46" s="36"/>
      <c r="C46" s="37"/>
      <c r="D46" s="97"/>
      <c r="E46" s="98"/>
      <c r="F46" s="101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3"/>
      <c r="T46" s="83"/>
      <c r="U46" s="85"/>
      <c r="V46" s="83"/>
      <c r="W46" s="85"/>
      <c r="X46" s="97"/>
      <c r="Y46" s="100"/>
      <c r="Z46" s="100"/>
      <c r="AA46" s="100"/>
      <c r="AB46" s="100"/>
      <c r="AC46" s="100"/>
      <c r="AD46" s="98"/>
      <c r="AE46" s="83"/>
      <c r="AF46" s="84"/>
      <c r="AG46" s="85"/>
      <c r="AH46" s="83"/>
      <c r="AI46" s="84"/>
      <c r="AJ46" s="84"/>
      <c r="AK46" s="85"/>
      <c r="AL46" s="83"/>
      <c r="AM46" s="84"/>
      <c r="AN46" s="85"/>
      <c r="AO46" s="38"/>
      <c r="AP46" s="35"/>
      <c r="AQ46" s="78">
        <f t="shared" si="0"/>
        <v>0</v>
      </c>
      <c r="AR46" s="37"/>
      <c r="AS46" s="78">
        <f t="shared" si="1"/>
        <v>0</v>
      </c>
      <c r="AT46" s="37"/>
      <c r="AU46" s="37"/>
      <c r="AV46" s="37"/>
      <c r="AW46" s="37"/>
      <c r="AX46" s="37"/>
    </row>
    <row r="47" spans="1:51" ht="20.100000000000001" customHeight="1" x14ac:dyDescent="0.25">
      <c r="A47" s="35">
        <v>42</v>
      </c>
      <c r="B47" s="36"/>
      <c r="C47" s="37"/>
      <c r="D47" s="97"/>
      <c r="E47" s="98"/>
      <c r="F47" s="101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3"/>
      <c r="T47" s="83"/>
      <c r="U47" s="85"/>
      <c r="V47" s="83"/>
      <c r="W47" s="85"/>
      <c r="X47" s="97"/>
      <c r="Y47" s="100"/>
      <c r="Z47" s="100"/>
      <c r="AA47" s="100"/>
      <c r="AB47" s="100"/>
      <c r="AC47" s="100"/>
      <c r="AD47" s="98"/>
      <c r="AE47" s="83"/>
      <c r="AF47" s="84"/>
      <c r="AG47" s="85"/>
      <c r="AH47" s="83"/>
      <c r="AI47" s="84"/>
      <c r="AJ47" s="84"/>
      <c r="AK47" s="85"/>
      <c r="AL47" s="83"/>
      <c r="AM47" s="84"/>
      <c r="AN47" s="85"/>
      <c r="AO47" s="38"/>
      <c r="AP47" s="35"/>
      <c r="AQ47" s="78">
        <f t="shared" si="0"/>
        <v>0</v>
      </c>
      <c r="AR47" s="37"/>
      <c r="AS47" s="78">
        <f t="shared" si="1"/>
        <v>0</v>
      </c>
      <c r="AT47" s="37"/>
      <c r="AU47" s="37"/>
      <c r="AV47" s="37"/>
      <c r="AW47" s="37"/>
      <c r="AX47" s="37"/>
    </row>
    <row r="48" spans="1:51" ht="20.100000000000001" customHeight="1" x14ac:dyDescent="0.25">
      <c r="A48" s="35">
        <v>43</v>
      </c>
      <c r="B48" s="36"/>
      <c r="C48" s="37"/>
      <c r="D48" s="97"/>
      <c r="E48" s="98"/>
      <c r="F48" s="101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3"/>
      <c r="T48" s="83"/>
      <c r="U48" s="85"/>
      <c r="V48" s="83"/>
      <c r="W48" s="85"/>
      <c r="X48" s="97"/>
      <c r="Y48" s="100"/>
      <c r="Z48" s="100"/>
      <c r="AA48" s="100"/>
      <c r="AB48" s="100"/>
      <c r="AC48" s="100"/>
      <c r="AD48" s="98"/>
      <c r="AE48" s="83"/>
      <c r="AF48" s="84"/>
      <c r="AG48" s="85"/>
      <c r="AH48" s="83"/>
      <c r="AI48" s="84"/>
      <c r="AJ48" s="84"/>
      <c r="AK48" s="85"/>
      <c r="AL48" s="83"/>
      <c r="AM48" s="84"/>
      <c r="AN48" s="85"/>
      <c r="AO48" s="38"/>
      <c r="AP48" s="35"/>
      <c r="AQ48" s="78">
        <f t="shared" si="0"/>
        <v>0</v>
      </c>
      <c r="AR48" s="37"/>
      <c r="AS48" s="78">
        <f t="shared" si="1"/>
        <v>0</v>
      </c>
      <c r="AT48" s="37"/>
      <c r="AU48" s="37"/>
      <c r="AV48" s="37"/>
      <c r="AW48" s="37"/>
      <c r="AX48" s="37"/>
    </row>
    <row r="49" spans="1:50" ht="20.100000000000001" customHeight="1" x14ac:dyDescent="0.25">
      <c r="A49" s="35">
        <v>44</v>
      </c>
      <c r="B49" s="36"/>
      <c r="C49" s="37"/>
      <c r="D49" s="97"/>
      <c r="E49" s="98"/>
      <c r="F49" s="101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3"/>
      <c r="T49" s="83"/>
      <c r="U49" s="85"/>
      <c r="V49" s="83"/>
      <c r="W49" s="85"/>
      <c r="X49" s="97"/>
      <c r="Y49" s="100"/>
      <c r="Z49" s="100"/>
      <c r="AA49" s="100"/>
      <c r="AB49" s="100"/>
      <c r="AC49" s="100"/>
      <c r="AD49" s="98"/>
      <c r="AE49" s="83"/>
      <c r="AF49" s="84"/>
      <c r="AG49" s="85"/>
      <c r="AH49" s="83"/>
      <c r="AI49" s="84"/>
      <c r="AJ49" s="84"/>
      <c r="AK49" s="85"/>
      <c r="AL49" s="83"/>
      <c r="AM49" s="84"/>
      <c r="AN49" s="85"/>
      <c r="AO49" s="38"/>
      <c r="AP49" s="35"/>
      <c r="AQ49" s="78">
        <f t="shared" si="0"/>
        <v>0</v>
      </c>
      <c r="AR49" s="37"/>
      <c r="AS49" s="78">
        <f t="shared" si="1"/>
        <v>0</v>
      </c>
      <c r="AT49" s="37"/>
      <c r="AU49" s="37"/>
      <c r="AV49" s="37"/>
      <c r="AW49" s="37"/>
      <c r="AX49" s="37"/>
    </row>
    <row r="50" spans="1:50" ht="20.100000000000001" customHeight="1" x14ac:dyDescent="0.25">
      <c r="A50" s="35">
        <v>45</v>
      </c>
      <c r="B50" s="36"/>
      <c r="C50" s="37"/>
      <c r="D50" s="97"/>
      <c r="E50" s="98"/>
      <c r="F50" s="101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3"/>
      <c r="T50" s="83"/>
      <c r="U50" s="85"/>
      <c r="V50" s="83"/>
      <c r="W50" s="85"/>
      <c r="X50" s="97"/>
      <c r="Y50" s="100"/>
      <c r="Z50" s="100"/>
      <c r="AA50" s="100"/>
      <c r="AB50" s="100"/>
      <c r="AC50" s="100"/>
      <c r="AD50" s="98"/>
      <c r="AE50" s="83"/>
      <c r="AF50" s="84"/>
      <c r="AG50" s="85"/>
      <c r="AH50" s="83"/>
      <c r="AI50" s="84"/>
      <c r="AJ50" s="84"/>
      <c r="AK50" s="85"/>
      <c r="AL50" s="83"/>
      <c r="AM50" s="84"/>
      <c r="AN50" s="85"/>
      <c r="AO50" s="38"/>
      <c r="AP50" s="35"/>
      <c r="AQ50" s="78">
        <f t="shared" si="0"/>
        <v>0</v>
      </c>
      <c r="AR50" s="37"/>
      <c r="AS50" s="78">
        <f t="shared" si="1"/>
        <v>0</v>
      </c>
      <c r="AT50" s="37"/>
      <c r="AU50" s="37"/>
      <c r="AV50" s="37"/>
      <c r="AW50" s="37"/>
      <c r="AX50" s="37"/>
    </row>
    <row r="51" spans="1:50" ht="20.100000000000001" customHeight="1" x14ac:dyDescent="0.25">
      <c r="A51" s="35">
        <v>46</v>
      </c>
      <c r="B51" s="47"/>
      <c r="C51" s="37"/>
      <c r="D51" s="97"/>
      <c r="E51" s="98"/>
      <c r="F51" s="101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3"/>
      <c r="T51" s="83"/>
      <c r="U51" s="85"/>
      <c r="V51" s="83"/>
      <c r="W51" s="85"/>
      <c r="X51" s="97"/>
      <c r="Y51" s="100"/>
      <c r="Z51" s="100"/>
      <c r="AA51" s="100"/>
      <c r="AB51" s="100"/>
      <c r="AC51" s="100"/>
      <c r="AD51" s="98"/>
      <c r="AE51" s="83"/>
      <c r="AF51" s="84"/>
      <c r="AG51" s="85"/>
      <c r="AH51" s="83"/>
      <c r="AI51" s="84"/>
      <c r="AJ51" s="84"/>
      <c r="AK51" s="85"/>
      <c r="AL51" s="83"/>
      <c r="AM51" s="84"/>
      <c r="AN51" s="85"/>
      <c r="AO51" s="53"/>
      <c r="AP51" s="54"/>
      <c r="AQ51" s="78">
        <f t="shared" si="0"/>
        <v>0</v>
      </c>
      <c r="AR51" s="37"/>
      <c r="AS51" s="78">
        <f t="shared" si="1"/>
        <v>0</v>
      </c>
      <c r="AT51" s="37"/>
      <c r="AU51" s="37"/>
      <c r="AV51" s="37"/>
      <c r="AW51" s="37"/>
      <c r="AX51" s="37"/>
    </row>
    <row r="52" spans="1:50" ht="20.100000000000001" customHeight="1" x14ac:dyDescent="0.25">
      <c r="A52" s="35">
        <v>47</v>
      </c>
      <c r="B52" s="36"/>
      <c r="C52" s="37"/>
      <c r="D52" s="97"/>
      <c r="E52" s="98"/>
      <c r="F52" s="101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3"/>
      <c r="T52" s="83"/>
      <c r="U52" s="85"/>
      <c r="V52" s="83"/>
      <c r="W52" s="85"/>
      <c r="X52" s="97"/>
      <c r="Y52" s="100"/>
      <c r="Z52" s="100"/>
      <c r="AA52" s="100"/>
      <c r="AB52" s="100"/>
      <c r="AC52" s="100"/>
      <c r="AD52" s="98"/>
      <c r="AE52" s="83"/>
      <c r="AF52" s="84"/>
      <c r="AG52" s="85"/>
      <c r="AH52" s="83"/>
      <c r="AI52" s="84"/>
      <c r="AJ52" s="84"/>
      <c r="AK52" s="85"/>
      <c r="AL52" s="83"/>
      <c r="AM52" s="84"/>
      <c r="AN52" s="85"/>
      <c r="AO52" s="38"/>
      <c r="AP52" s="35"/>
      <c r="AQ52" s="78">
        <f t="shared" si="0"/>
        <v>0</v>
      </c>
      <c r="AR52" s="37"/>
      <c r="AS52" s="78">
        <f t="shared" si="1"/>
        <v>0</v>
      </c>
      <c r="AT52" s="37"/>
      <c r="AU52" s="37"/>
      <c r="AV52" s="37"/>
      <c r="AW52" s="37"/>
      <c r="AX52" s="37"/>
    </row>
    <row r="53" spans="1:50" ht="20.100000000000001" customHeight="1" x14ac:dyDescent="0.25">
      <c r="A53" s="35">
        <v>48</v>
      </c>
      <c r="B53" s="36"/>
      <c r="C53" s="37"/>
      <c r="D53" s="97"/>
      <c r="E53" s="98"/>
      <c r="F53" s="101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3"/>
      <c r="T53" s="83"/>
      <c r="U53" s="85"/>
      <c r="V53" s="83"/>
      <c r="W53" s="85"/>
      <c r="X53" s="97"/>
      <c r="Y53" s="100"/>
      <c r="Z53" s="100"/>
      <c r="AA53" s="100"/>
      <c r="AB53" s="100"/>
      <c r="AC53" s="100"/>
      <c r="AD53" s="98"/>
      <c r="AE53" s="83"/>
      <c r="AF53" s="84"/>
      <c r="AG53" s="85"/>
      <c r="AH53" s="83"/>
      <c r="AI53" s="84"/>
      <c r="AJ53" s="84"/>
      <c r="AK53" s="85"/>
      <c r="AL53" s="83"/>
      <c r="AM53" s="84"/>
      <c r="AN53" s="85"/>
      <c r="AO53" s="38"/>
      <c r="AP53" s="35"/>
      <c r="AQ53" s="78">
        <f t="shared" si="0"/>
        <v>0</v>
      </c>
      <c r="AR53" s="37"/>
      <c r="AS53" s="78">
        <f t="shared" si="1"/>
        <v>0</v>
      </c>
      <c r="AT53" s="37"/>
      <c r="AU53" s="37"/>
      <c r="AV53" s="37"/>
      <c r="AW53" s="37"/>
      <c r="AX53" s="37"/>
    </row>
    <row r="54" spans="1:50" ht="20.100000000000001" customHeight="1" x14ac:dyDescent="0.25">
      <c r="A54" s="35">
        <v>49</v>
      </c>
      <c r="B54" s="36"/>
      <c r="C54" s="37"/>
      <c r="D54" s="97"/>
      <c r="E54" s="98"/>
      <c r="F54" s="101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3"/>
      <c r="T54" s="83"/>
      <c r="U54" s="85"/>
      <c r="V54" s="83"/>
      <c r="W54" s="85"/>
      <c r="X54" s="97"/>
      <c r="Y54" s="100"/>
      <c r="Z54" s="100"/>
      <c r="AA54" s="100"/>
      <c r="AB54" s="100"/>
      <c r="AC54" s="100"/>
      <c r="AD54" s="98"/>
      <c r="AE54" s="83"/>
      <c r="AF54" s="84"/>
      <c r="AG54" s="85"/>
      <c r="AH54" s="83"/>
      <c r="AI54" s="84"/>
      <c r="AJ54" s="84"/>
      <c r="AK54" s="85"/>
      <c r="AL54" s="83"/>
      <c r="AM54" s="84"/>
      <c r="AN54" s="85"/>
      <c r="AO54" s="38"/>
      <c r="AP54" s="35"/>
      <c r="AQ54" s="78">
        <f t="shared" si="0"/>
        <v>0</v>
      </c>
      <c r="AR54" s="37"/>
      <c r="AS54" s="78">
        <f t="shared" si="1"/>
        <v>0</v>
      </c>
      <c r="AT54" s="37"/>
      <c r="AU54" s="37"/>
      <c r="AV54" s="37"/>
      <c r="AW54" s="37"/>
      <c r="AX54" s="37"/>
    </row>
    <row r="55" spans="1:50" ht="20.100000000000001" customHeight="1" x14ac:dyDescent="0.25">
      <c r="A55" s="35">
        <v>50</v>
      </c>
      <c r="B55" s="36"/>
      <c r="C55" s="37"/>
      <c r="D55" s="97"/>
      <c r="E55" s="98"/>
      <c r="F55" s="101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3"/>
      <c r="T55" s="83"/>
      <c r="U55" s="85"/>
      <c r="V55" s="83"/>
      <c r="W55" s="85"/>
      <c r="X55" s="97"/>
      <c r="Y55" s="100"/>
      <c r="Z55" s="100"/>
      <c r="AA55" s="100"/>
      <c r="AB55" s="100"/>
      <c r="AC55" s="100"/>
      <c r="AD55" s="98"/>
      <c r="AE55" s="83"/>
      <c r="AF55" s="84"/>
      <c r="AG55" s="85"/>
      <c r="AH55" s="83"/>
      <c r="AI55" s="84"/>
      <c r="AJ55" s="84"/>
      <c r="AK55" s="85"/>
      <c r="AL55" s="83"/>
      <c r="AM55" s="84"/>
      <c r="AN55" s="85"/>
      <c r="AO55" s="38"/>
      <c r="AP55" s="35"/>
      <c r="AQ55" s="78">
        <f t="shared" si="0"/>
        <v>0</v>
      </c>
      <c r="AR55" s="37"/>
      <c r="AS55" s="78">
        <f t="shared" si="1"/>
        <v>0</v>
      </c>
      <c r="AT55" s="37"/>
      <c r="AU55" s="37"/>
      <c r="AV55" s="37"/>
      <c r="AW55" s="37"/>
      <c r="AX55" s="37"/>
    </row>
    <row r="56" spans="1:50" ht="20.100000000000001" customHeight="1" x14ac:dyDescent="0.25">
      <c r="A56" s="35">
        <v>51</v>
      </c>
      <c r="B56" s="46"/>
      <c r="C56" s="37"/>
      <c r="D56" s="97"/>
      <c r="E56" s="98"/>
      <c r="F56" s="101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3"/>
      <c r="T56" s="83"/>
      <c r="U56" s="85"/>
      <c r="V56" s="83"/>
      <c r="W56" s="85"/>
      <c r="X56" s="97"/>
      <c r="Y56" s="100"/>
      <c r="Z56" s="100"/>
      <c r="AA56" s="100"/>
      <c r="AB56" s="100"/>
      <c r="AC56" s="100"/>
      <c r="AD56" s="98"/>
      <c r="AE56" s="83"/>
      <c r="AF56" s="84"/>
      <c r="AG56" s="85"/>
      <c r="AH56" s="83"/>
      <c r="AI56" s="84"/>
      <c r="AJ56" s="84"/>
      <c r="AK56" s="85"/>
      <c r="AL56" s="83"/>
      <c r="AM56" s="84"/>
      <c r="AN56" s="85"/>
      <c r="AO56" s="38"/>
      <c r="AP56" s="35"/>
      <c r="AQ56" s="78">
        <f t="shared" si="0"/>
        <v>0</v>
      </c>
      <c r="AR56" s="37"/>
      <c r="AS56" s="78">
        <f t="shared" si="1"/>
        <v>0</v>
      </c>
      <c r="AT56" s="37"/>
      <c r="AU56" s="37"/>
      <c r="AV56" s="37"/>
      <c r="AW56" s="37"/>
      <c r="AX56" s="37"/>
    </row>
    <row r="57" spans="1:50" ht="20.100000000000001" customHeight="1" x14ac:dyDescent="0.25">
      <c r="A57" s="35">
        <v>52</v>
      </c>
      <c r="B57" s="36"/>
      <c r="C57" s="37"/>
      <c r="D57" s="97"/>
      <c r="E57" s="98"/>
      <c r="F57" s="101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3"/>
      <c r="T57" s="83"/>
      <c r="U57" s="85"/>
      <c r="V57" s="83"/>
      <c r="W57" s="85"/>
      <c r="X57" s="97"/>
      <c r="Y57" s="100"/>
      <c r="Z57" s="100"/>
      <c r="AA57" s="100"/>
      <c r="AB57" s="100"/>
      <c r="AC57" s="100"/>
      <c r="AD57" s="98"/>
      <c r="AE57" s="83"/>
      <c r="AF57" s="84"/>
      <c r="AG57" s="85"/>
      <c r="AH57" s="83"/>
      <c r="AI57" s="84"/>
      <c r="AJ57" s="84"/>
      <c r="AK57" s="85"/>
      <c r="AL57" s="83"/>
      <c r="AM57" s="84"/>
      <c r="AN57" s="85"/>
      <c r="AO57" s="38"/>
      <c r="AP57" s="35"/>
      <c r="AQ57" s="78">
        <f t="shared" si="0"/>
        <v>0</v>
      </c>
      <c r="AR57" s="37"/>
      <c r="AS57" s="78">
        <f t="shared" si="1"/>
        <v>0</v>
      </c>
      <c r="AT57" s="37"/>
      <c r="AU57" s="37"/>
      <c r="AV57" s="37"/>
      <c r="AW57" s="37"/>
      <c r="AX57" s="37"/>
    </row>
    <row r="58" spans="1:50" ht="20.100000000000001" customHeight="1" x14ac:dyDescent="0.25">
      <c r="A58" s="35">
        <v>53</v>
      </c>
      <c r="B58" s="36"/>
      <c r="C58" s="37"/>
      <c r="D58" s="97"/>
      <c r="E58" s="98"/>
      <c r="F58" s="101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3"/>
      <c r="T58" s="83"/>
      <c r="U58" s="85"/>
      <c r="V58" s="83"/>
      <c r="W58" s="85"/>
      <c r="X58" s="97"/>
      <c r="Y58" s="100"/>
      <c r="Z58" s="100"/>
      <c r="AA58" s="100"/>
      <c r="AB58" s="100"/>
      <c r="AC58" s="100"/>
      <c r="AD58" s="98"/>
      <c r="AE58" s="83"/>
      <c r="AF58" s="84"/>
      <c r="AG58" s="85"/>
      <c r="AH58" s="83"/>
      <c r="AI58" s="84"/>
      <c r="AJ58" s="84"/>
      <c r="AK58" s="85"/>
      <c r="AL58" s="83"/>
      <c r="AM58" s="84"/>
      <c r="AN58" s="85"/>
      <c r="AO58" s="38"/>
      <c r="AP58" s="35"/>
      <c r="AQ58" s="78">
        <f t="shared" si="0"/>
        <v>0</v>
      </c>
      <c r="AR58" s="37"/>
      <c r="AS58" s="78">
        <f t="shared" si="1"/>
        <v>0</v>
      </c>
      <c r="AT58" s="37"/>
      <c r="AU58" s="37"/>
      <c r="AV58" s="37"/>
      <c r="AW58" s="37"/>
      <c r="AX58" s="37"/>
    </row>
    <row r="59" spans="1:50" ht="20.100000000000001" customHeight="1" x14ac:dyDescent="0.25">
      <c r="A59" s="35">
        <v>54</v>
      </c>
      <c r="B59" s="36"/>
      <c r="C59" s="37"/>
      <c r="D59" s="97"/>
      <c r="E59" s="98"/>
      <c r="F59" s="101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3"/>
      <c r="T59" s="83"/>
      <c r="U59" s="85"/>
      <c r="V59" s="83"/>
      <c r="W59" s="85"/>
      <c r="X59" s="97"/>
      <c r="Y59" s="100"/>
      <c r="Z59" s="100"/>
      <c r="AA59" s="100"/>
      <c r="AB59" s="100"/>
      <c r="AC59" s="100"/>
      <c r="AD59" s="98"/>
      <c r="AE59" s="83"/>
      <c r="AF59" s="84"/>
      <c r="AG59" s="85"/>
      <c r="AH59" s="83"/>
      <c r="AI59" s="84"/>
      <c r="AJ59" s="84"/>
      <c r="AK59" s="85"/>
      <c r="AL59" s="83"/>
      <c r="AM59" s="84"/>
      <c r="AN59" s="85"/>
      <c r="AO59" s="38"/>
      <c r="AP59" s="35"/>
      <c r="AQ59" s="78">
        <f t="shared" si="0"/>
        <v>0</v>
      </c>
      <c r="AR59" s="37"/>
      <c r="AS59" s="78">
        <f t="shared" si="1"/>
        <v>0</v>
      </c>
      <c r="AT59" s="37"/>
      <c r="AU59" s="37"/>
      <c r="AV59" s="37"/>
      <c r="AW59" s="37"/>
      <c r="AX59" s="37"/>
    </row>
    <row r="60" spans="1:50" ht="20.100000000000001" customHeight="1" x14ac:dyDescent="0.25">
      <c r="A60" s="35">
        <v>55</v>
      </c>
      <c r="B60" s="36"/>
      <c r="C60" s="37"/>
      <c r="D60" s="97"/>
      <c r="E60" s="98"/>
      <c r="F60" s="101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3"/>
      <c r="T60" s="83"/>
      <c r="U60" s="85"/>
      <c r="V60" s="83"/>
      <c r="W60" s="85"/>
      <c r="X60" s="97"/>
      <c r="Y60" s="100"/>
      <c r="Z60" s="100"/>
      <c r="AA60" s="100"/>
      <c r="AB60" s="100"/>
      <c r="AC60" s="100"/>
      <c r="AD60" s="98"/>
      <c r="AE60" s="83"/>
      <c r="AF60" s="84"/>
      <c r="AG60" s="85"/>
      <c r="AH60" s="83"/>
      <c r="AI60" s="84"/>
      <c r="AJ60" s="84"/>
      <c r="AK60" s="85"/>
      <c r="AL60" s="83"/>
      <c r="AM60" s="84"/>
      <c r="AN60" s="85"/>
      <c r="AO60" s="38"/>
      <c r="AP60" s="35"/>
      <c r="AQ60" s="78">
        <f t="shared" si="0"/>
        <v>0</v>
      </c>
      <c r="AR60" s="37"/>
      <c r="AS60" s="78">
        <f t="shared" si="1"/>
        <v>0</v>
      </c>
      <c r="AT60" s="37"/>
      <c r="AU60" s="37"/>
      <c r="AV60" s="37"/>
      <c r="AW60" s="37"/>
      <c r="AX60" s="37"/>
    </row>
    <row r="61" spans="1:50" ht="20.100000000000001" customHeight="1" x14ac:dyDescent="0.25">
      <c r="A61" s="35">
        <v>56</v>
      </c>
      <c r="B61" s="36"/>
      <c r="C61" s="37"/>
      <c r="D61" s="97"/>
      <c r="E61" s="98"/>
      <c r="F61" s="101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3"/>
      <c r="T61" s="83"/>
      <c r="U61" s="85"/>
      <c r="V61" s="83"/>
      <c r="W61" s="85"/>
      <c r="X61" s="97"/>
      <c r="Y61" s="100"/>
      <c r="Z61" s="100"/>
      <c r="AA61" s="100"/>
      <c r="AB61" s="100"/>
      <c r="AC61" s="100"/>
      <c r="AD61" s="98"/>
      <c r="AE61" s="83"/>
      <c r="AF61" s="84"/>
      <c r="AG61" s="85"/>
      <c r="AH61" s="83"/>
      <c r="AI61" s="84"/>
      <c r="AJ61" s="84"/>
      <c r="AK61" s="85"/>
      <c r="AL61" s="83"/>
      <c r="AM61" s="84"/>
      <c r="AN61" s="85"/>
      <c r="AO61" s="38"/>
      <c r="AP61" s="35"/>
      <c r="AQ61" s="78">
        <f t="shared" si="0"/>
        <v>0</v>
      </c>
      <c r="AR61" s="37"/>
      <c r="AS61" s="78">
        <f t="shared" si="1"/>
        <v>0</v>
      </c>
      <c r="AT61" s="37"/>
      <c r="AU61" s="37"/>
      <c r="AV61" s="37"/>
      <c r="AW61" s="37"/>
      <c r="AX61" s="37"/>
    </row>
    <row r="62" spans="1:50" ht="20.100000000000001" customHeight="1" x14ac:dyDescent="0.25">
      <c r="A62" s="35">
        <v>57</v>
      </c>
      <c r="B62" s="36"/>
      <c r="C62" s="37"/>
      <c r="D62" s="97"/>
      <c r="E62" s="98"/>
      <c r="F62" s="101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3"/>
      <c r="T62" s="83"/>
      <c r="U62" s="85"/>
      <c r="V62" s="83"/>
      <c r="W62" s="85"/>
      <c r="X62" s="97"/>
      <c r="Y62" s="100"/>
      <c r="Z62" s="100"/>
      <c r="AA62" s="100"/>
      <c r="AB62" s="100"/>
      <c r="AC62" s="100"/>
      <c r="AD62" s="98"/>
      <c r="AE62" s="83"/>
      <c r="AF62" s="84"/>
      <c r="AG62" s="85"/>
      <c r="AH62" s="83"/>
      <c r="AI62" s="84"/>
      <c r="AJ62" s="84"/>
      <c r="AK62" s="85"/>
      <c r="AL62" s="83"/>
      <c r="AM62" s="84"/>
      <c r="AN62" s="85"/>
      <c r="AO62" s="38"/>
      <c r="AP62" s="35"/>
      <c r="AQ62" s="78">
        <f t="shared" si="0"/>
        <v>0</v>
      </c>
      <c r="AR62" s="37"/>
      <c r="AS62" s="78">
        <f t="shared" si="1"/>
        <v>0</v>
      </c>
      <c r="AT62" s="37"/>
      <c r="AU62" s="37"/>
      <c r="AV62" s="37"/>
      <c r="AW62" s="37"/>
      <c r="AX62" s="37"/>
    </row>
    <row r="63" spans="1:50" ht="20.100000000000001" customHeight="1" x14ac:dyDescent="0.25">
      <c r="A63" s="35">
        <v>58</v>
      </c>
      <c r="B63" s="36"/>
      <c r="C63" s="37"/>
      <c r="D63" s="97"/>
      <c r="E63" s="98"/>
      <c r="F63" s="101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3"/>
      <c r="T63" s="83"/>
      <c r="U63" s="85"/>
      <c r="V63" s="83"/>
      <c r="W63" s="85"/>
      <c r="X63" s="97"/>
      <c r="Y63" s="100"/>
      <c r="Z63" s="100"/>
      <c r="AA63" s="100"/>
      <c r="AB63" s="100"/>
      <c r="AC63" s="100"/>
      <c r="AD63" s="98"/>
      <c r="AE63" s="83"/>
      <c r="AF63" s="84"/>
      <c r="AG63" s="85"/>
      <c r="AH63" s="83"/>
      <c r="AI63" s="84"/>
      <c r="AJ63" s="84"/>
      <c r="AK63" s="85"/>
      <c r="AL63" s="83"/>
      <c r="AM63" s="84"/>
      <c r="AN63" s="85"/>
      <c r="AO63" s="38"/>
      <c r="AP63" s="35"/>
      <c r="AQ63" s="78">
        <f t="shared" si="0"/>
        <v>0</v>
      </c>
      <c r="AR63" s="37"/>
      <c r="AS63" s="78">
        <f t="shared" si="1"/>
        <v>0</v>
      </c>
      <c r="AT63" s="37"/>
      <c r="AU63" s="37"/>
      <c r="AV63" s="37"/>
      <c r="AW63" s="37"/>
      <c r="AX63" s="37"/>
    </row>
    <row r="64" spans="1:50" ht="20.100000000000001" customHeight="1" x14ac:dyDescent="0.25">
      <c r="A64" s="35">
        <v>59</v>
      </c>
      <c r="B64" s="46"/>
      <c r="C64" s="37"/>
      <c r="D64" s="97"/>
      <c r="E64" s="98"/>
      <c r="F64" s="101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3"/>
      <c r="T64" s="83"/>
      <c r="U64" s="85"/>
      <c r="V64" s="83"/>
      <c r="W64" s="85"/>
      <c r="X64" s="97"/>
      <c r="Y64" s="100"/>
      <c r="Z64" s="100"/>
      <c r="AA64" s="100"/>
      <c r="AB64" s="100"/>
      <c r="AC64" s="100"/>
      <c r="AD64" s="98"/>
      <c r="AE64" s="83"/>
      <c r="AF64" s="84"/>
      <c r="AG64" s="85"/>
      <c r="AH64" s="83"/>
      <c r="AI64" s="84"/>
      <c r="AJ64" s="84"/>
      <c r="AK64" s="85"/>
      <c r="AL64" s="83"/>
      <c r="AM64" s="84"/>
      <c r="AN64" s="85"/>
      <c r="AO64" s="38"/>
      <c r="AP64" s="35"/>
      <c r="AQ64" s="78">
        <f t="shared" si="0"/>
        <v>0</v>
      </c>
      <c r="AR64" s="37"/>
      <c r="AS64" s="78">
        <f t="shared" si="1"/>
        <v>0</v>
      </c>
      <c r="AT64" s="37"/>
      <c r="AU64" s="37"/>
      <c r="AV64" s="37"/>
      <c r="AW64" s="37"/>
      <c r="AX64" s="37"/>
    </row>
    <row r="65" spans="1:50" ht="20.100000000000001" customHeight="1" x14ac:dyDescent="0.25">
      <c r="A65" s="35">
        <v>60</v>
      </c>
      <c r="B65" s="36"/>
      <c r="C65" s="37"/>
      <c r="D65" s="97"/>
      <c r="E65" s="98"/>
      <c r="F65" s="101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3"/>
      <c r="T65" s="83"/>
      <c r="U65" s="85"/>
      <c r="V65" s="83"/>
      <c r="W65" s="85"/>
      <c r="X65" s="97"/>
      <c r="Y65" s="100"/>
      <c r="Z65" s="100"/>
      <c r="AA65" s="100"/>
      <c r="AB65" s="100"/>
      <c r="AC65" s="100"/>
      <c r="AD65" s="98"/>
      <c r="AE65" s="83"/>
      <c r="AF65" s="84"/>
      <c r="AG65" s="85"/>
      <c r="AH65" s="83"/>
      <c r="AI65" s="84"/>
      <c r="AJ65" s="84"/>
      <c r="AK65" s="85"/>
      <c r="AL65" s="83"/>
      <c r="AM65" s="84"/>
      <c r="AN65" s="85"/>
      <c r="AO65" s="38"/>
      <c r="AP65" s="35"/>
      <c r="AQ65" s="78">
        <f t="shared" si="0"/>
        <v>0</v>
      </c>
      <c r="AR65" s="37"/>
      <c r="AS65" s="78">
        <f t="shared" si="1"/>
        <v>0</v>
      </c>
      <c r="AT65" s="37"/>
      <c r="AU65" s="37"/>
      <c r="AV65" s="37"/>
      <c r="AW65" s="37"/>
      <c r="AX65" s="37"/>
    </row>
    <row r="66" spans="1:50" ht="20.100000000000001" customHeight="1" x14ac:dyDescent="0.25">
      <c r="A66" s="35">
        <v>61</v>
      </c>
      <c r="B66" s="36"/>
      <c r="C66" s="37"/>
      <c r="D66" s="97"/>
      <c r="E66" s="98"/>
      <c r="F66" s="101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3"/>
      <c r="T66" s="83"/>
      <c r="U66" s="85"/>
      <c r="V66" s="83"/>
      <c r="W66" s="85"/>
      <c r="X66" s="97"/>
      <c r="Y66" s="100"/>
      <c r="Z66" s="100"/>
      <c r="AA66" s="100"/>
      <c r="AB66" s="100"/>
      <c r="AC66" s="100"/>
      <c r="AD66" s="98"/>
      <c r="AE66" s="83"/>
      <c r="AF66" s="84"/>
      <c r="AG66" s="85"/>
      <c r="AH66" s="83"/>
      <c r="AI66" s="84"/>
      <c r="AJ66" s="84"/>
      <c r="AK66" s="85"/>
      <c r="AL66" s="83"/>
      <c r="AM66" s="84"/>
      <c r="AN66" s="85"/>
      <c r="AO66" s="38"/>
      <c r="AP66" s="35"/>
      <c r="AQ66" s="78">
        <f t="shared" si="0"/>
        <v>0</v>
      </c>
      <c r="AR66" s="37"/>
      <c r="AS66" s="78">
        <f t="shared" si="1"/>
        <v>0</v>
      </c>
      <c r="AT66" s="37"/>
      <c r="AU66" s="37"/>
      <c r="AV66" s="37"/>
      <c r="AW66" s="37"/>
      <c r="AX66" s="37"/>
    </row>
    <row r="67" spans="1:50" ht="20.100000000000001" customHeight="1" x14ac:dyDescent="0.25">
      <c r="A67" s="35">
        <v>62</v>
      </c>
      <c r="B67" s="36"/>
      <c r="C67" s="37"/>
      <c r="D67" s="97"/>
      <c r="E67" s="98"/>
      <c r="F67" s="101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3"/>
      <c r="T67" s="83"/>
      <c r="U67" s="85"/>
      <c r="V67" s="83"/>
      <c r="W67" s="85"/>
      <c r="X67" s="97"/>
      <c r="Y67" s="100"/>
      <c r="Z67" s="100"/>
      <c r="AA67" s="100"/>
      <c r="AB67" s="100"/>
      <c r="AC67" s="100"/>
      <c r="AD67" s="98"/>
      <c r="AE67" s="83"/>
      <c r="AF67" s="84"/>
      <c r="AG67" s="85"/>
      <c r="AH67" s="83"/>
      <c r="AI67" s="84"/>
      <c r="AJ67" s="84"/>
      <c r="AK67" s="85"/>
      <c r="AL67" s="83"/>
      <c r="AM67" s="84"/>
      <c r="AN67" s="85"/>
      <c r="AO67" s="38"/>
      <c r="AP67" s="35"/>
      <c r="AQ67" s="78">
        <f t="shared" si="0"/>
        <v>0</v>
      </c>
      <c r="AR67" s="37"/>
      <c r="AS67" s="78">
        <f t="shared" si="1"/>
        <v>0</v>
      </c>
      <c r="AT67" s="37"/>
      <c r="AU67" s="37"/>
      <c r="AV67" s="37"/>
      <c r="AW67" s="37"/>
      <c r="AX67" s="37"/>
    </row>
    <row r="68" spans="1:50" ht="20.100000000000001" customHeight="1" x14ac:dyDescent="0.25">
      <c r="A68" s="35">
        <v>63</v>
      </c>
      <c r="B68" s="36"/>
      <c r="C68" s="37"/>
      <c r="D68" s="97"/>
      <c r="E68" s="98"/>
      <c r="F68" s="101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3"/>
      <c r="T68" s="83"/>
      <c r="U68" s="85"/>
      <c r="V68" s="83"/>
      <c r="W68" s="85"/>
      <c r="X68" s="97"/>
      <c r="Y68" s="100"/>
      <c r="Z68" s="100"/>
      <c r="AA68" s="100"/>
      <c r="AB68" s="100"/>
      <c r="AC68" s="100"/>
      <c r="AD68" s="98"/>
      <c r="AE68" s="83"/>
      <c r="AF68" s="84"/>
      <c r="AG68" s="85"/>
      <c r="AH68" s="83"/>
      <c r="AI68" s="84"/>
      <c r="AJ68" s="84"/>
      <c r="AK68" s="85"/>
      <c r="AL68" s="83"/>
      <c r="AM68" s="84"/>
      <c r="AN68" s="85"/>
      <c r="AO68" s="38"/>
      <c r="AP68" s="35"/>
      <c r="AQ68" s="78">
        <f t="shared" si="0"/>
        <v>0</v>
      </c>
      <c r="AR68" s="37"/>
      <c r="AS68" s="78">
        <f t="shared" si="1"/>
        <v>0</v>
      </c>
      <c r="AT68" s="37"/>
      <c r="AU68" s="37"/>
      <c r="AV68" s="37"/>
      <c r="AW68" s="37"/>
      <c r="AX68" s="37"/>
    </row>
    <row r="69" spans="1:50" ht="20.100000000000001" customHeight="1" x14ac:dyDescent="0.25">
      <c r="A69" s="35">
        <v>64</v>
      </c>
      <c r="B69" s="36"/>
      <c r="C69" s="37"/>
      <c r="D69" s="97"/>
      <c r="E69" s="98"/>
      <c r="F69" s="101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3"/>
      <c r="T69" s="83"/>
      <c r="U69" s="85"/>
      <c r="V69" s="83"/>
      <c r="W69" s="85"/>
      <c r="X69" s="97"/>
      <c r="Y69" s="100"/>
      <c r="Z69" s="100"/>
      <c r="AA69" s="100"/>
      <c r="AB69" s="100"/>
      <c r="AC69" s="100"/>
      <c r="AD69" s="98"/>
      <c r="AE69" s="83"/>
      <c r="AF69" s="84"/>
      <c r="AG69" s="85"/>
      <c r="AH69" s="83"/>
      <c r="AI69" s="84"/>
      <c r="AJ69" s="84"/>
      <c r="AK69" s="85"/>
      <c r="AL69" s="83"/>
      <c r="AM69" s="84"/>
      <c r="AN69" s="85"/>
      <c r="AO69" s="38"/>
      <c r="AP69" s="35"/>
      <c r="AQ69" s="78">
        <f t="shared" si="0"/>
        <v>0</v>
      </c>
      <c r="AR69" s="37"/>
      <c r="AS69" s="78">
        <f t="shared" si="1"/>
        <v>0</v>
      </c>
      <c r="AT69" s="37"/>
      <c r="AU69" s="37"/>
      <c r="AV69" s="37"/>
      <c r="AW69" s="37"/>
      <c r="AX69" s="37"/>
    </row>
    <row r="70" spans="1:50" ht="20.100000000000001" customHeight="1" x14ac:dyDescent="0.25">
      <c r="A70" s="35">
        <v>65</v>
      </c>
      <c r="B70" s="36"/>
      <c r="C70" s="37"/>
      <c r="D70" s="97"/>
      <c r="E70" s="98"/>
      <c r="F70" s="101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3"/>
      <c r="T70" s="83"/>
      <c r="U70" s="85"/>
      <c r="V70" s="83"/>
      <c r="W70" s="85"/>
      <c r="X70" s="97"/>
      <c r="Y70" s="100"/>
      <c r="Z70" s="100"/>
      <c r="AA70" s="100"/>
      <c r="AB70" s="100"/>
      <c r="AC70" s="100"/>
      <c r="AD70" s="98"/>
      <c r="AE70" s="83"/>
      <c r="AF70" s="84"/>
      <c r="AG70" s="85"/>
      <c r="AH70" s="83"/>
      <c r="AI70" s="84"/>
      <c r="AJ70" s="84"/>
      <c r="AK70" s="85"/>
      <c r="AL70" s="83"/>
      <c r="AM70" s="84"/>
      <c r="AN70" s="85"/>
      <c r="AO70" s="38"/>
      <c r="AP70" s="35"/>
      <c r="AQ70" s="78">
        <f t="shared" si="0"/>
        <v>0</v>
      </c>
      <c r="AR70" s="37"/>
      <c r="AS70" s="78">
        <f t="shared" si="1"/>
        <v>0</v>
      </c>
      <c r="AT70" s="37"/>
      <c r="AU70" s="37"/>
      <c r="AV70" s="37"/>
      <c r="AW70" s="37"/>
      <c r="AX70" s="37"/>
    </row>
    <row r="71" spans="1:50" ht="20.100000000000001" customHeight="1" x14ac:dyDescent="0.25">
      <c r="A71" s="35">
        <v>66</v>
      </c>
      <c r="B71" s="36"/>
      <c r="C71" s="37"/>
      <c r="D71" s="97"/>
      <c r="E71" s="98"/>
      <c r="F71" s="101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3"/>
      <c r="T71" s="83"/>
      <c r="U71" s="85"/>
      <c r="V71" s="83"/>
      <c r="W71" s="85"/>
      <c r="X71" s="97"/>
      <c r="Y71" s="100"/>
      <c r="Z71" s="100"/>
      <c r="AA71" s="100"/>
      <c r="AB71" s="100"/>
      <c r="AC71" s="100"/>
      <c r="AD71" s="98"/>
      <c r="AE71" s="83"/>
      <c r="AF71" s="84"/>
      <c r="AG71" s="85"/>
      <c r="AH71" s="83"/>
      <c r="AI71" s="84"/>
      <c r="AJ71" s="84"/>
      <c r="AK71" s="85"/>
      <c r="AL71" s="83"/>
      <c r="AM71" s="84"/>
      <c r="AN71" s="85"/>
      <c r="AO71" s="38"/>
      <c r="AP71" s="35"/>
      <c r="AQ71" s="78">
        <f t="shared" ref="AQ71:AQ134" si="2">AP71-B71</f>
        <v>0</v>
      </c>
      <c r="AR71" s="37"/>
      <c r="AS71" s="78">
        <f t="shared" ref="AS71:AS134" si="3">AP71-AR71</f>
        <v>0</v>
      </c>
      <c r="AT71" s="37"/>
      <c r="AU71" s="37"/>
      <c r="AV71" s="37"/>
      <c r="AW71" s="37"/>
      <c r="AX71" s="37"/>
    </row>
    <row r="72" spans="1:50" ht="20.100000000000001" customHeight="1" x14ac:dyDescent="0.25">
      <c r="A72" s="35">
        <v>67</v>
      </c>
      <c r="B72" s="36"/>
      <c r="C72" s="37"/>
      <c r="D72" s="97"/>
      <c r="E72" s="98"/>
      <c r="F72" s="101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3"/>
      <c r="T72" s="83"/>
      <c r="U72" s="85"/>
      <c r="V72" s="83"/>
      <c r="W72" s="85"/>
      <c r="X72" s="97"/>
      <c r="Y72" s="100"/>
      <c r="Z72" s="100"/>
      <c r="AA72" s="100"/>
      <c r="AB72" s="100"/>
      <c r="AC72" s="100"/>
      <c r="AD72" s="98"/>
      <c r="AE72" s="83"/>
      <c r="AF72" s="84"/>
      <c r="AG72" s="85"/>
      <c r="AH72" s="83"/>
      <c r="AI72" s="84"/>
      <c r="AJ72" s="84"/>
      <c r="AK72" s="85"/>
      <c r="AL72" s="83"/>
      <c r="AM72" s="84"/>
      <c r="AN72" s="85"/>
      <c r="AO72" s="38"/>
      <c r="AP72" s="35"/>
      <c r="AQ72" s="78">
        <f t="shared" si="2"/>
        <v>0</v>
      </c>
      <c r="AR72" s="37"/>
      <c r="AS72" s="78">
        <f t="shared" si="3"/>
        <v>0</v>
      </c>
      <c r="AT72" s="37"/>
      <c r="AU72" s="37"/>
      <c r="AV72" s="37"/>
      <c r="AW72" s="37"/>
      <c r="AX72" s="37"/>
    </row>
    <row r="73" spans="1:50" ht="20.100000000000001" customHeight="1" x14ac:dyDescent="0.25">
      <c r="A73" s="35">
        <v>68</v>
      </c>
      <c r="B73" s="36"/>
      <c r="C73" s="37"/>
      <c r="D73" s="97"/>
      <c r="E73" s="98"/>
      <c r="F73" s="101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3"/>
      <c r="T73" s="83"/>
      <c r="U73" s="85"/>
      <c r="V73" s="83"/>
      <c r="W73" s="85"/>
      <c r="X73" s="97"/>
      <c r="Y73" s="100"/>
      <c r="Z73" s="100"/>
      <c r="AA73" s="100"/>
      <c r="AB73" s="100"/>
      <c r="AC73" s="100"/>
      <c r="AD73" s="98"/>
      <c r="AE73" s="83"/>
      <c r="AF73" s="84"/>
      <c r="AG73" s="85"/>
      <c r="AH73" s="83"/>
      <c r="AI73" s="84"/>
      <c r="AJ73" s="84"/>
      <c r="AK73" s="85"/>
      <c r="AL73" s="83"/>
      <c r="AM73" s="84"/>
      <c r="AN73" s="85"/>
      <c r="AO73" s="38"/>
      <c r="AP73" s="35"/>
      <c r="AQ73" s="78">
        <f t="shared" si="2"/>
        <v>0</v>
      </c>
      <c r="AR73" s="37"/>
      <c r="AS73" s="78">
        <f t="shared" si="3"/>
        <v>0</v>
      </c>
      <c r="AT73" s="37"/>
      <c r="AU73" s="37"/>
      <c r="AV73" s="37"/>
      <c r="AW73" s="37"/>
      <c r="AX73" s="37"/>
    </row>
    <row r="74" spans="1:50" ht="20.100000000000001" customHeight="1" x14ac:dyDescent="0.25">
      <c r="A74" s="35">
        <v>69</v>
      </c>
      <c r="B74" s="36"/>
      <c r="C74" s="37"/>
      <c r="D74" s="97"/>
      <c r="E74" s="98"/>
      <c r="F74" s="101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3"/>
      <c r="T74" s="83"/>
      <c r="U74" s="85"/>
      <c r="V74" s="83"/>
      <c r="W74" s="85"/>
      <c r="X74" s="97"/>
      <c r="Y74" s="100"/>
      <c r="Z74" s="100"/>
      <c r="AA74" s="100"/>
      <c r="AB74" s="100"/>
      <c r="AC74" s="100"/>
      <c r="AD74" s="98"/>
      <c r="AE74" s="83"/>
      <c r="AF74" s="84"/>
      <c r="AG74" s="85"/>
      <c r="AH74" s="83"/>
      <c r="AI74" s="84"/>
      <c r="AJ74" s="84"/>
      <c r="AK74" s="85"/>
      <c r="AL74" s="83"/>
      <c r="AM74" s="84"/>
      <c r="AN74" s="85"/>
      <c r="AO74" s="38"/>
      <c r="AP74" s="35"/>
      <c r="AQ74" s="78">
        <f t="shared" si="2"/>
        <v>0</v>
      </c>
      <c r="AR74" s="37"/>
      <c r="AS74" s="78">
        <f t="shared" si="3"/>
        <v>0</v>
      </c>
      <c r="AT74" s="37"/>
      <c r="AU74" s="37"/>
      <c r="AV74" s="37"/>
      <c r="AW74" s="37"/>
      <c r="AX74" s="37"/>
    </row>
    <row r="75" spans="1:50" ht="20.100000000000001" customHeight="1" x14ac:dyDescent="0.25">
      <c r="A75" s="35">
        <v>70</v>
      </c>
      <c r="B75" s="36"/>
      <c r="C75" s="37"/>
      <c r="D75" s="97"/>
      <c r="E75" s="98"/>
      <c r="F75" s="101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3"/>
      <c r="T75" s="83"/>
      <c r="U75" s="85"/>
      <c r="V75" s="83"/>
      <c r="W75" s="85"/>
      <c r="X75" s="97"/>
      <c r="Y75" s="100"/>
      <c r="Z75" s="100"/>
      <c r="AA75" s="100"/>
      <c r="AB75" s="100"/>
      <c r="AC75" s="100"/>
      <c r="AD75" s="98"/>
      <c r="AE75" s="83"/>
      <c r="AF75" s="84"/>
      <c r="AG75" s="85"/>
      <c r="AH75" s="83"/>
      <c r="AI75" s="84"/>
      <c r="AJ75" s="84"/>
      <c r="AK75" s="85"/>
      <c r="AL75" s="83"/>
      <c r="AM75" s="84"/>
      <c r="AN75" s="85"/>
      <c r="AO75" s="38"/>
      <c r="AP75" s="35"/>
      <c r="AQ75" s="78">
        <f t="shared" si="2"/>
        <v>0</v>
      </c>
      <c r="AR75" s="37"/>
      <c r="AS75" s="78">
        <f t="shared" si="3"/>
        <v>0</v>
      </c>
      <c r="AT75" s="37"/>
      <c r="AU75" s="37"/>
      <c r="AV75" s="37"/>
      <c r="AW75" s="37"/>
      <c r="AX75" s="37"/>
    </row>
    <row r="76" spans="1:50" ht="20.100000000000001" customHeight="1" x14ac:dyDescent="0.25">
      <c r="A76" s="35">
        <v>71</v>
      </c>
      <c r="B76" s="46"/>
      <c r="C76" s="37"/>
      <c r="D76" s="97"/>
      <c r="E76" s="98"/>
      <c r="F76" s="101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3"/>
      <c r="T76" s="83"/>
      <c r="U76" s="85"/>
      <c r="V76" s="83"/>
      <c r="W76" s="85"/>
      <c r="X76" s="97"/>
      <c r="Y76" s="100"/>
      <c r="Z76" s="100"/>
      <c r="AA76" s="100"/>
      <c r="AB76" s="100"/>
      <c r="AC76" s="100"/>
      <c r="AD76" s="98"/>
      <c r="AE76" s="83"/>
      <c r="AF76" s="84"/>
      <c r="AG76" s="85"/>
      <c r="AH76" s="83"/>
      <c r="AI76" s="84"/>
      <c r="AJ76" s="84"/>
      <c r="AK76" s="85"/>
      <c r="AL76" s="83"/>
      <c r="AM76" s="84"/>
      <c r="AN76" s="85"/>
      <c r="AO76" s="38"/>
      <c r="AP76" s="35"/>
      <c r="AQ76" s="78">
        <f t="shared" si="2"/>
        <v>0</v>
      </c>
      <c r="AR76" s="37"/>
      <c r="AS76" s="78">
        <f t="shared" si="3"/>
        <v>0</v>
      </c>
      <c r="AT76" s="37"/>
      <c r="AU76" s="37"/>
      <c r="AV76" s="37"/>
      <c r="AW76" s="37"/>
      <c r="AX76" s="37"/>
    </row>
    <row r="77" spans="1:50" ht="20.100000000000001" customHeight="1" x14ac:dyDescent="0.25">
      <c r="A77" s="35">
        <v>72</v>
      </c>
      <c r="B77" s="46"/>
      <c r="C77" s="37"/>
      <c r="D77" s="97"/>
      <c r="E77" s="98"/>
      <c r="F77" s="101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3"/>
      <c r="T77" s="83"/>
      <c r="U77" s="85"/>
      <c r="V77" s="83"/>
      <c r="W77" s="85"/>
      <c r="X77" s="97"/>
      <c r="Y77" s="100"/>
      <c r="Z77" s="100"/>
      <c r="AA77" s="100"/>
      <c r="AB77" s="100"/>
      <c r="AC77" s="100"/>
      <c r="AD77" s="98"/>
      <c r="AE77" s="83"/>
      <c r="AF77" s="84"/>
      <c r="AG77" s="85"/>
      <c r="AH77" s="83"/>
      <c r="AI77" s="84"/>
      <c r="AJ77" s="84"/>
      <c r="AK77" s="85"/>
      <c r="AL77" s="83"/>
      <c r="AM77" s="84"/>
      <c r="AN77" s="85"/>
      <c r="AO77" s="38"/>
      <c r="AP77" s="35"/>
      <c r="AQ77" s="78">
        <f t="shared" si="2"/>
        <v>0</v>
      </c>
      <c r="AR77" s="37"/>
      <c r="AS77" s="78">
        <f t="shared" si="3"/>
        <v>0</v>
      </c>
      <c r="AT77" s="37"/>
      <c r="AU77" s="37"/>
      <c r="AV77" s="37"/>
      <c r="AW77" s="37"/>
      <c r="AX77" s="37"/>
    </row>
    <row r="78" spans="1:50" ht="20.100000000000001" customHeight="1" x14ac:dyDescent="0.25">
      <c r="A78" s="35">
        <v>73</v>
      </c>
      <c r="B78" s="36"/>
      <c r="C78" s="37"/>
      <c r="D78" s="97"/>
      <c r="E78" s="98"/>
      <c r="F78" s="101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3"/>
      <c r="T78" s="83"/>
      <c r="U78" s="85"/>
      <c r="V78" s="83"/>
      <c r="W78" s="85"/>
      <c r="X78" s="97"/>
      <c r="Y78" s="100"/>
      <c r="Z78" s="100"/>
      <c r="AA78" s="100"/>
      <c r="AB78" s="100"/>
      <c r="AC78" s="100"/>
      <c r="AD78" s="98"/>
      <c r="AE78" s="83"/>
      <c r="AF78" s="84"/>
      <c r="AG78" s="85"/>
      <c r="AH78" s="83"/>
      <c r="AI78" s="84"/>
      <c r="AJ78" s="84"/>
      <c r="AK78" s="85"/>
      <c r="AL78" s="83"/>
      <c r="AM78" s="84"/>
      <c r="AN78" s="85"/>
      <c r="AO78" s="38"/>
      <c r="AP78" s="35"/>
      <c r="AQ78" s="78">
        <f t="shared" si="2"/>
        <v>0</v>
      </c>
      <c r="AR78" s="37"/>
      <c r="AS78" s="78">
        <f t="shared" si="3"/>
        <v>0</v>
      </c>
      <c r="AT78" s="37"/>
      <c r="AU78" s="37"/>
      <c r="AV78" s="37"/>
      <c r="AW78" s="37"/>
      <c r="AX78" s="37"/>
    </row>
    <row r="79" spans="1:50" ht="20.100000000000001" customHeight="1" x14ac:dyDescent="0.25">
      <c r="A79" s="35">
        <v>74</v>
      </c>
      <c r="B79" s="36"/>
      <c r="C79" s="37"/>
      <c r="D79" s="97"/>
      <c r="E79" s="98"/>
      <c r="F79" s="101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3"/>
      <c r="T79" s="83"/>
      <c r="U79" s="85"/>
      <c r="V79" s="83"/>
      <c r="W79" s="85"/>
      <c r="X79" s="97"/>
      <c r="Y79" s="100"/>
      <c r="Z79" s="100"/>
      <c r="AA79" s="100"/>
      <c r="AB79" s="100"/>
      <c r="AC79" s="100"/>
      <c r="AD79" s="98"/>
      <c r="AE79" s="83"/>
      <c r="AF79" s="84"/>
      <c r="AG79" s="85"/>
      <c r="AH79" s="83"/>
      <c r="AI79" s="84"/>
      <c r="AJ79" s="84"/>
      <c r="AK79" s="85"/>
      <c r="AL79" s="83"/>
      <c r="AM79" s="84"/>
      <c r="AN79" s="85"/>
      <c r="AO79" s="38"/>
      <c r="AP79" s="35"/>
      <c r="AQ79" s="78">
        <f t="shared" si="2"/>
        <v>0</v>
      </c>
      <c r="AR79" s="37"/>
      <c r="AS79" s="78">
        <f t="shared" si="3"/>
        <v>0</v>
      </c>
      <c r="AT79" s="37"/>
      <c r="AU79" s="37"/>
      <c r="AV79" s="37"/>
      <c r="AW79" s="37"/>
      <c r="AX79" s="37"/>
    </row>
    <row r="80" spans="1:50" ht="20.100000000000001" customHeight="1" x14ac:dyDescent="0.25">
      <c r="A80" s="35">
        <v>75</v>
      </c>
      <c r="B80" s="46"/>
      <c r="C80" s="37"/>
      <c r="D80" s="97"/>
      <c r="E80" s="98"/>
      <c r="F80" s="101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3"/>
      <c r="T80" s="83"/>
      <c r="U80" s="85"/>
      <c r="V80" s="83"/>
      <c r="W80" s="85"/>
      <c r="X80" s="97"/>
      <c r="Y80" s="100"/>
      <c r="Z80" s="100"/>
      <c r="AA80" s="100"/>
      <c r="AB80" s="100"/>
      <c r="AC80" s="100"/>
      <c r="AD80" s="98"/>
      <c r="AE80" s="83"/>
      <c r="AF80" s="84"/>
      <c r="AG80" s="85"/>
      <c r="AH80" s="83"/>
      <c r="AI80" s="84"/>
      <c r="AJ80" s="84"/>
      <c r="AK80" s="85"/>
      <c r="AL80" s="83"/>
      <c r="AM80" s="84"/>
      <c r="AN80" s="85"/>
      <c r="AO80" s="38"/>
      <c r="AP80" s="35"/>
      <c r="AQ80" s="78">
        <f t="shared" si="2"/>
        <v>0</v>
      </c>
      <c r="AR80" s="37"/>
      <c r="AS80" s="78">
        <f t="shared" si="3"/>
        <v>0</v>
      </c>
      <c r="AT80" s="37"/>
      <c r="AU80" s="37"/>
      <c r="AV80" s="37"/>
      <c r="AW80" s="37"/>
      <c r="AX80" s="37"/>
    </row>
    <row r="81" spans="1:51" ht="20.100000000000001" customHeight="1" x14ac:dyDescent="0.25">
      <c r="A81" s="35">
        <v>76</v>
      </c>
      <c r="B81" s="36"/>
      <c r="C81" s="37"/>
      <c r="D81" s="97"/>
      <c r="E81" s="98"/>
      <c r="F81" s="101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3"/>
      <c r="T81" s="83"/>
      <c r="U81" s="85"/>
      <c r="V81" s="83"/>
      <c r="W81" s="85"/>
      <c r="X81" s="97"/>
      <c r="Y81" s="100"/>
      <c r="Z81" s="100"/>
      <c r="AA81" s="100"/>
      <c r="AB81" s="100"/>
      <c r="AC81" s="100"/>
      <c r="AD81" s="98"/>
      <c r="AE81" s="83"/>
      <c r="AF81" s="84"/>
      <c r="AG81" s="85"/>
      <c r="AH81" s="83"/>
      <c r="AI81" s="84"/>
      <c r="AJ81" s="84"/>
      <c r="AK81" s="85"/>
      <c r="AL81" s="83"/>
      <c r="AM81" s="84"/>
      <c r="AN81" s="85"/>
      <c r="AO81" s="38"/>
      <c r="AP81" s="35"/>
      <c r="AQ81" s="78">
        <f t="shared" si="2"/>
        <v>0</v>
      </c>
      <c r="AR81" s="37"/>
      <c r="AS81" s="78">
        <f t="shared" si="3"/>
        <v>0</v>
      </c>
      <c r="AT81" s="37"/>
      <c r="AU81" s="37"/>
      <c r="AV81" s="37"/>
      <c r="AW81" s="37"/>
      <c r="AX81" s="37"/>
    </row>
    <row r="82" spans="1:51" ht="20.100000000000001" customHeight="1" x14ac:dyDescent="0.25">
      <c r="A82" s="35">
        <v>77</v>
      </c>
      <c r="B82" s="36"/>
      <c r="C82" s="37"/>
      <c r="D82" s="97"/>
      <c r="E82" s="98"/>
      <c r="F82" s="101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3"/>
      <c r="T82" s="83"/>
      <c r="U82" s="85"/>
      <c r="V82" s="83"/>
      <c r="W82" s="85"/>
      <c r="X82" s="97"/>
      <c r="Y82" s="100"/>
      <c r="Z82" s="100"/>
      <c r="AA82" s="100"/>
      <c r="AB82" s="100"/>
      <c r="AC82" s="100"/>
      <c r="AD82" s="98"/>
      <c r="AE82" s="83"/>
      <c r="AF82" s="84"/>
      <c r="AG82" s="85"/>
      <c r="AH82" s="83"/>
      <c r="AI82" s="84"/>
      <c r="AJ82" s="84"/>
      <c r="AK82" s="85"/>
      <c r="AL82" s="83"/>
      <c r="AM82" s="84"/>
      <c r="AN82" s="85"/>
      <c r="AO82" s="38"/>
      <c r="AP82" s="35"/>
      <c r="AQ82" s="78">
        <f t="shared" si="2"/>
        <v>0</v>
      </c>
      <c r="AR82" s="37"/>
      <c r="AS82" s="78">
        <f t="shared" si="3"/>
        <v>0</v>
      </c>
      <c r="AT82" s="37"/>
      <c r="AU82" s="37"/>
      <c r="AV82" s="37"/>
      <c r="AW82" s="37"/>
      <c r="AX82" s="37"/>
    </row>
    <row r="83" spans="1:51" ht="20.100000000000001" customHeight="1" x14ac:dyDescent="0.25">
      <c r="A83" s="35">
        <v>78</v>
      </c>
      <c r="B83" s="36"/>
      <c r="C83" s="37"/>
      <c r="D83" s="97"/>
      <c r="E83" s="98"/>
      <c r="F83" s="101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3"/>
      <c r="T83" s="83"/>
      <c r="U83" s="85"/>
      <c r="V83" s="83"/>
      <c r="W83" s="85"/>
      <c r="X83" s="97"/>
      <c r="Y83" s="100"/>
      <c r="Z83" s="100"/>
      <c r="AA83" s="100"/>
      <c r="AB83" s="100"/>
      <c r="AC83" s="100"/>
      <c r="AD83" s="98"/>
      <c r="AE83" s="83"/>
      <c r="AF83" s="84"/>
      <c r="AG83" s="85"/>
      <c r="AH83" s="83"/>
      <c r="AI83" s="84"/>
      <c r="AJ83" s="84"/>
      <c r="AK83" s="85"/>
      <c r="AL83" s="83"/>
      <c r="AM83" s="84"/>
      <c r="AN83" s="85"/>
      <c r="AO83" s="38"/>
      <c r="AP83" s="35"/>
      <c r="AQ83" s="78">
        <f t="shared" si="2"/>
        <v>0</v>
      </c>
      <c r="AR83" s="37"/>
      <c r="AS83" s="78">
        <f t="shared" si="3"/>
        <v>0</v>
      </c>
      <c r="AT83" s="37"/>
      <c r="AU83" s="37"/>
      <c r="AV83" s="37"/>
      <c r="AW83" s="37"/>
      <c r="AX83" s="37"/>
    </row>
    <row r="84" spans="1:51" ht="20.100000000000001" customHeight="1" x14ac:dyDescent="0.25">
      <c r="A84" s="35">
        <v>79</v>
      </c>
      <c r="B84" s="36"/>
      <c r="C84" s="37"/>
      <c r="D84" s="97"/>
      <c r="E84" s="98"/>
      <c r="F84" s="101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3"/>
      <c r="T84" s="83"/>
      <c r="U84" s="85"/>
      <c r="V84" s="83"/>
      <c r="W84" s="85"/>
      <c r="X84" s="97"/>
      <c r="Y84" s="100"/>
      <c r="Z84" s="100"/>
      <c r="AA84" s="100"/>
      <c r="AB84" s="100"/>
      <c r="AC84" s="100"/>
      <c r="AD84" s="98"/>
      <c r="AE84" s="83"/>
      <c r="AF84" s="84"/>
      <c r="AG84" s="85"/>
      <c r="AH84" s="83"/>
      <c r="AI84" s="84"/>
      <c r="AJ84" s="84"/>
      <c r="AK84" s="85"/>
      <c r="AL84" s="83"/>
      <c r="AM84" s="84"/>
      <c r="AN84" s="85"/>
      <c r="AO84" s="38"/>
      <c r="AP84" s="35"/>
      <c r="AQ84" s="78">
        <f t="shared" si="2"/>
        <v>0</v>
      </c>
      <c r="AR84" s="37"/>
      <c r="AS84" s="78">
        <f t="shared" si="3"/>
        <v>0</v>
      </c>
      <c r="AT84" s="37"/>
      <c r="AU84" s="37"/>
      <c r="AV84" s="37"/>
      <c r="AW84" s="37"/>
      <c r="AX84" s="37"/>
    </row>
    <row r="85" spans="1:51" ht="20.100000000000001" customHeight="1" x14ac:dyDescent="0.25">
      <c r="A85" s="35">
        <v>80</v>
      </c>
      <c r="B85" s="49"/>
      <c r="C85" s="37"/>
      <c r="D85" s="97"/>
      <c r="E85" s="98"/>
      <c r="F85" s="101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3"/>
      <c r="T85" s="83"/>
      <c r="U85" s="85"/>
      <c r="V85" s="83"/>
      <c r="W85" s="85"/>
      <c r="X85" s="97"/>
      <c r="Y85" s="100"/>
      <c r="Z85" s="100"/>
      <c r="AA85" s="100"/>
      <c r="AB85" s="100"/>
      <c r="AC85" s="100"/>
      <c r="AD85" s="98"/>
      <c r="AE85" s="83"/>
      <c r="AF85" s="84"/>
      <c r="AG85" s="85"/>
      <c r="AH85" s="83"/>
      <c r="AI85" s="84"/>
      <c r="AJ85" s="84"/>
      <c r="AK85" s="85"/>
      <c r="AL85" s="83"/>
      <c r="AM85" s="84"/>
      <c r="AN85" s="85"/>
      <c r="AO85" s="55"/>
      <c r="AP85" s="56"/>
      <c r="AQ85" s="78">
        <f t="shared" si="2"/>
        <v>0</v>
      </c>
      <c r="AR85" s="37"/>
      <c r="AS85" s="78">
        <f t="shared" si="3"/>
        <v>0</v>
      </c>
      <c r="AT85" s="37"/>
      <c r="AU85" s="37"/>
      <c r="AV85" s="37"/>
      <c r="AW85" s="37"/>
      <c r="AX85" s="37"/>
    </row>
    <row r="86" spans="1:51" ht="20.100000000000001" customHeight="1" x14ac:dyDescent="0.25">
      <c r="A86" s="35">
        <v>81</v>
      </c>
      <c r="B86" s="36"/>
      <c r="C86" s="37"/>
      <c r="D86" s="97"/>
      <c r="E86" s="98"/>
      <c r="F86" s="101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3"/>
      <c r="T86" s="83"/>
      <c r="U86" s="85"/>
      <c r="V86" s="83"/>
      <c r="W86" s="85"/>
      <c r="X86" s="97"/>
      <c r="Y86" s="100"/>
      <c r="Z86" s="100"/>
      <c r="AA86" s="100"/>
      <c r="AB86" s="100"/>
      <c r="AC86" s="100"/>
      <c r="AD86" s="98"/>
      <c r="AE86" s="83"/>
      <c r="AF86" s="84"/>
      <c r="AG86" s="85"/>
      <c r="AH86" s="83"/>
      <c r="AI86" s="84"/>
      <c r="AJ86" s="84"/>
      <c r="AK86" s="85"/>
      <c r="AL86" s="83"/>
      <c r="AM86" s="84"/>
      <c r="AN86" s="85"/>
      <c r="AO86" s="38"/>
      <c r="AP86" s="35"/>
      <c r="AQ86" s="78">
        <f t="shared" si="2"/>
        <v>0</v>
      </c>
      <c r="AR86" s="37"/>
      <c r="AS86" s="78">
        <f t="shared" si="3"/>
        <v>0</v>
      </c>
      <c r="AT86" s="37"/>
      <c r="AU86" s="37"/>
      <c r="AV86" s="37"/>
      <c r="AW86" s="37"/>
      <c r="AX86" s="37"/>
    </row>
    <row r="87" spans="1:51" ht="20.100000000000001" customHeight="1" x14ac:dyDescent="0.25">
      <c r="A87" s="35">
        <v>82</v>
      </c>
      <c r="B87" s="36"/>
      <c r="C87" s="37"/>
      <c r="D87" s="97"/>
      <c r="E87" s="98"/>
      <c r="F87" s="101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3"/>
      <c r="T87" s="83"/>
      <c r="U87" s="85"/>
      <c r="V87" s="83"/>
      <c r="W87" s="85"/>
      <c r="X87" s="97"/>
      <c r="Y87" s="100"/>
      <c r="Z87" s="100"/>
      <c r="AA87" s="100"/>
      <c r="AB87" s="100"/>
      <c r="AC87" s="100"/>
      <c r="AD87" s="98"/>
      <c r="AE87" s="83"/>
      <c r="AF87" s="84"/>
      <c r="AG87" s="85"/>
      <c r="AH87" s="83"/>
      <c r="AI87" s="84"/>
      <c r="AJ87" s="84"/>
      <c r="AK87" s="85"/>
      <c r="AL87" s="83"/>
      <c r="AM87" s="84"/>
      <c r="AN87" s="85"/>
      <c r="AO87" s="38"/>
      <c r="AP87" s="35"/>
      <c r="AQ87" s="78">
        <f t="shared" si="2"/>
        <v>0</v>
      </c>
      <c r="AR87" s="37"/>
      <c r="AS87" s="78">
        <f t="shared" si="3"/>
        <v>0</v>
      </c>
      <c r="AT87" s="37"/>
      <c r="AU87" s="37"/>
      <c r="AV87" s="37"/>
      <c r="AW87" s="37"/>
      <c r="AX87" s="37"/>
    </row>
    <row r="88" spans="1:51" ht="20.100000000000001" customHeight="1" x14ac:dyDescent="0.25">
      <c r="A88" s="35">
        <v>83</v>
      </c>
      <c r="B88" s="36"/>
      <c r="C88" s="37"/>
      <c r="D88" s="97"/>
      <c r="E88" s="98"/>
      <c r="F88" s="101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3"/>
      <c r="T88" s="83"/>
      <c r="U88" s="85"/>
      <c r="V88" s="83"/>
      <c r="W88" s="85"/>
      <c r="X88" s="97"/>
      <c r="Y88" s="100"/>
      <c r="Z88" s="100"/>
      <c r="AA88" s="100"/>
      <c r="AB88" s="100"/>
      <c r="AC88" s="100"/>
      <c r="AD88" s="98"/>
      <c r="AE88" s="83"/>
      <c r="AF88" s="84"/>
      <c r="AG88" s="85"/>
      <c r="AH88" s="83"/>
      <c r="AI88" s="84"/>
      <c r="AJ88" s="84"/>
      <c r="AK88" s="85"/>
      <c r="AL88" s="83"/>
      <c r="AM88" s="84"/>
      <c r="AN88" s="85"/>
      <c r="AO88" s="38"/>
      <c r="AP88" s="35"/>
      <c r="AQ88" s="78">
        <f t="shared" si="2"/>
        <v>0</v>
      </c>
      <c r="AR88" s="37"/>
      <c r="AS88" s="78">
        <f t="shared" si="3"/>
        <v>0</v>
      </c>
      <c r="AT88" s="37"/>
      <c r="AU88" s="37"/>
      <c r="AV88" s="37"/>
      <c r="AW88" s="37"/>
      <c r="AX88" s="37"/>
    </row>
    <row r="89" spans="1:51" ht="20.100000000000001" customHeight="1" x14ac:dyDescent="0.25">
      <c r="A89" s="35">
        <v>84</v>
      </c>
      <c r="B89" s="36"/>
      <c r="C89" s="37"/>
      <c r="D89" s="97"/>
      <c r="E89" s="98"/>
      <c r="F89" s="101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3"/>
      <c r="T89" s="83"/>
      <c r="U89" s="85"/>
      <c r="V89" s="83"/>
      <c r="W89" s="85"/>
      <c r="X89" s="97"/>
      <c r="Y89" s="100"/>
      <c r="Z89" s="100"/>
      <c r="AA89" s="100"/>
      <c r="AB89" s="100"/>
      <c r="AC89" s="100"/>
      <c r="AD89" s="98"/>
      <c r="AE89" s="83"/>
      <c r="AF89" s="84"/>
      <c r="AG89" s="85"/>
      <c r="AH89" s="83"/>
      <c r="AI89" s="84"/>
      <c r="AJ89" s="84"/>
      <c r="AK89" s="85"/>
      <c r="AL89" s="83"/>
      <c r="AM89" s="84"/>
      <c r="AN89" s="85"/>
      <c r="AO89" s="38"/>
      <c r="AP89" s="35"/>
      <c r="AQ89" s="78">
        <f t="shared" si="2"/>
        <v>0</v>
      </c>
      <c r="AR89" s="37"/>
      <c r="AS89" s="78">
        <f t="shared" si="3"/>
        <v>0</v>
      </c>
      <c r="AT89" s="37"/>
      <c r="AU89" s="37"/>
      <c r="AV89" s="37"/>
      <c r="AW89" s="37"/>
      <c r="AX89" s="57"/>
    </row>
    <row r="90" spans="1:51" ht="20.100000000000001" customHeight="1" x14ac:dyDescent="0.25">
      <c r="A90" s="35">
        <v>85</v>
      </c>
      <c r="B90" s="36"/>
      <c r="C90" s="37"/>
      <c r="D90" s="97"/>
      <c r="E90" s="98"/>
      <c r="F90" s="101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3"/>
      <c r="T90" s="83"/>
      <c r="U90" s="85"/>
      <c r="V90" s="83"/>
      <c r="W90" s="85"/>
      <c r="X90" s="97"/>
      <c r="Y90" s="100"/>
      <c r="Z90" s="100"/>
      <c r="AA90" s="100"/>
      <c r="AB90" s="100"/>
      <c r="AC90" s="100"/>
      <c r="AD90" s="98"/>
      <c r="AE90" s="83"/>
      <c r="AF90" s="84"/>
      <c r="AG90" s="85"/>
      <c r="AH90" s="83"/>
      <c r="AI90" s="84"/>
      <c r="AJ90" s="84"/>
      <c r="AK90" s="85"/>
      <c r="AL90" s="83"/>
      <c r="AM90" s="84"/>
      <c r="AN90" s="85"/>
      <c r="AO90" s="38"/>
      <c r="AP90" s="35"/>
      <c r="AQ90" s="78">
        <f t="shared" si="2"/>
        <v>0</v>
      </c>
      <c r="AR90" s="37"/>
      <c r="AS90" s="78">
        <f t="shared" si="3"/>
        <v>0</v>
      </c>
      <c r="AT90" s="37"/>
      <c r="AU90" s="37"/>
      <c r="AV90" s="37"/>
      <c r="AW90" s="37"/>
      <c r="AX90" s="37"/>
    </row>
    <row r="91" spans="1:51" ht="20.100000000000001" customHeight="1" x14ac:dyDescent="0.25">
      <c r="A91" s="35">
        <v>86</v>
      </c>
      <c r="B91" s="36"/>
      <c r="C91" s="37"/>
      <c r="D91" s="97"/>
      <c r="E91" s="98"/>
      <c r="F91" s="101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3"/>
      <c r="T91" s="83"/>
      <c r="U91" s="85"/>
      <c r="V91" s="83"/>
      <c r="W91" s="85"/>
      <c r="X91" s="97"/>
      <c r="Y91" s="100"/>
      <c r="Z91" s="100"/>
      <c r="AA91" s="100"/>
      <c r="AB91" s="100"/>
      <c r="AC91" s="100"/>
      <c r="AD91" s="98"/>
      <c r="AE91" s="83"/>
      <c r="AF91" s="84"/>
      <c r="AG91" s="85"/>
      <c r="AH91" s="83"/>
      <c r="AI91" s="84"/>
      <c r="AJ91" s="84"/>
      <c r="AK91" s="85"/>
      <c r="AL91" s="83"/>
      <c r="AM91" s="84"/>
      <c r="AN91" s="85"/>
      <c r="AO91" s="38"/>
      <c r="AP91" s="35"/>
      <c r="AQ91" s="78">
        <f t="shared" si="2"/>
        <v>0</v>
      </c>
      <c r="AR91" s="37"/>
      <c r="AS91" s="78">
        <f t="shared" si="3"/>
        <v>0</v>
      </c>
      <c r="AT91" s="37"/>
      <c r="AU91" s="37"/>
      <c r="AV91" s="37"/>
      <c r="AW91" s="37"/>
      <c r="AX91" s="57"/>
    </row>
    <row r="92" spans="1:51" s="59" customFormat="1" ht="20.100000000000001" customHeight="1" x14ac:dyDescent="0.25">
      <c r="A92" s="35">
        <v>87</v>
      </c>
      <c r="B92" s="56"/>
      <c r="C92" s="37"/>
      <c r="D92" s="97"/>
      <c r="E92" s="98"/>
      <c r="F92" s="101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3"/>
      <c r="T92" s="83"/>
      <c r="U92" s="85"/>
      <c r="V92" s="83"/>
      <c r="W92" s="85"/>
      <c r="X92" s="97"/>
      <c r="Y92" s="100"/>
      <c r="Z92" s="100"/>
      <c r="AA92" s="100"/>
      <c r="AB92" s="100"/>
      <c r="AC92" s="100"/>
      <c r="AD92" s="98"/>
      <c r="AE92" s="83"/>
      <c r="AF92" s="84"/>
      <c r="AG92" s="85"/>
      <c r="AH92" s="83"/>
      <c r="AI92" s="84"/>
      <c r="AJ92" s="84"/>
      <c r="AK92" s="85"/>
      <c r="AL92" s="83"/>
      <c r="AM92" s="84"/>
      <c r="AN92" s="85"/>
      <c r="AO92" s="38"/>
      <c r="AP92" s="35"/>
      <c r="AQ92" s="78">
        <f t="shared" si="2"/>
        <v>0</v>
      </c>
      <c r="AR92" s="37"/>
      <c r="AS92" s="78">
        <f t="shared" si="3"/>
        <v>0</v>
      </c>
      <c r="AT92" s="58"/>
      <c r="AU92" s="37"/>
      <c r="AV92" s="37"/>
      <c r="AW92" s="58"/>
      <c r="AX92" s="58"/>
    </row>
    <row r="93" spans="1:51" s="62" customFormat="1" ht="20.100000000000001" customHeight="1" x14ac:dyDescent="0.25">
      <c r="A93" s="35">
        <v>88</v>
      </c>
      <c r="B93" s="58"/>
      <c r="C93" s="37"/>
      <c r="D93" s="97"/>
      <c r="E93" s="98"/>
      <c r="F93" s="101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3"/>
      <c r="T93" s="83"/>
      <c r="U93" s="85"/>
      <c r="V93" s="83"/>
      <c r="W93" s="85"/>
      <c r="X93" s="97"/>
      <c r="Y93" s="100"/>
      <c r="Z93" s="100"/>
      <c r="AA93" s="100"/>
      <c r="AB93" s="100"/>
      <c r="AC93" s="100"/>
      <c r="AD93" s="98"/>
      <c r="AE93" s="83"/>
      <c r="AF93" s="84"/>
      <c r="AG93" s="85"/>
      <c r="AH93" s="83"/>
      <c r="AI93" s="84"/>
      <c r="AJ93" s="84"/>
      <c r="AK93" s="85"/>
      <c r="AL93" s="83"/>
      <c r="AM93" s="84"/>
      <c r="AN93" s="85"/>
      <c r="AO93" s="60"/>
      <c r="AP93" s="61"/>
      <c r="AQ93" s="78">
        <f t="shared" si="2"/>
        <v>0</v>
      </c>
      <c r="AR93" s="37"/>
      <c r="AS93" s="78">
        <f t="shared" si="3"/>
        <v>0</v>
      </c>
      <c r="AT93" s="37"/>
      <c r="AU93" s="37"/>
      <c r="AV93" s="37"/>
      <c r="AW93" s="37"/>
      <c r="AX93" s="37"/>
      <c r="AY93" s="20"/>
    </row>
    <row r="94" spans="1:51" ht="20.100000000000001" customHeight="1" x14ac:dyDescent="0.25">
      <c r="A94" s="35">
        <v>89</v>
      </c>
      <c r="B94" s="58"/>
      <c r="C94" s="37"/>
      <c r="D94" s="97"/>
      <c r="E94" s="98"/>
      <c r="F94" s="101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3"/>
      <c r="T94" s="83"/>
      <c r="U94" s="85"/>
      <c r="V94" s="83"/>
      <c r="W94" s="85"/>
      <c r="X94" s="97"/>
      <c r="Y94" s="100"/>
      <c r="Z94" s="100"/>
      <c r="AA94" s="100"/>
      <c r="AB94" s="100"/>
      <c r="AC94" s="100"/>
      <c r="AD94" s="98"/>
      <c r="AE94" s="83"/>
      <c r="AF94" s="84"/>
      <c r="AG94" s="85"/>
      <c r="AH94" s="83"/>
      <c r="AI94" s="84"/>
      <c r="AJ94" s="84"/>
      <c r="AK94" s="85"/>
      <c r="AL94" s="83"/>
      <c r="AM94" s="84"/>
      <c r="AN94" s="85"/>
      <c r="AO94" s="60"/>
      <c r="AP94" s="61"/>
      <c r="AQ94" s="78">
        <f t="shared" si="2"/>
        <v>0</v>
      </c>
      <c r="AR94" s="37"/>
      <c r="AS94" s="78">
        <f t="shared" si="3"/>
        <v>0</v>
      </c>
      <c r="AT94" s="37"/>
      <c r="AU94" s="37"/>
      <c r="AV94" s="37"/>
      <c r="AW94" s="37"/>
      <c r="AX94" s="37"/>
    </row>
    <row r="95" spans="1:51" s="45" customFormat="1" ht="20.100000000000001" customHeight="1" x14ac:dyDescent="0.25">
      <c r="A95" s="35">
        <v>90</v>
      </c>
      <c r="B95" s="51"/>
      <c r="C95" s="37"/>
      <c r="D95" s="97"/>
      <c r="E95" s="98"/>
      <c r="F95" s="101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3"/>
      <c r="T95" s="83"/>
      <c r="U95" s="85"/>
      <c r="V95" s="83"/>
      <c r="W95" s="85"/>
      <c r="X95" s="97"/>
      <c r="Y95" s="100"/>
      <c r="Z95" s="100"/>
      <c r="AA95" s="100"/>
      <c r="AB95" s="100"/>
      <c r="AC95" s="100"/>
      <c r="AD95" s="98"/>
      <c r="AE95" s="83"/>
      <c r="AF95" s="84"/>
      <c r="AG95" s="85"/>
      <c r="AH95" s="83"/>
      <c r="AI95" s="84"/>
      <c r="AJ95" s="84"/>
      <c r="AK95" s="85"/>
      <c r="AL95" s="83"/>
      <c r="AM95" s="84"/>
      <c r="AN95" s="85"/>
      <c r="AO95" s="60"/>
      <c r="AP95" s="61"/>
      <c r="AQ95" s="78">
        <f t="shared" si="2"/>
        <v>0</v>
      </c>
      <c r="AR95" s="37"/>
      <c r="AS95" s="78">
        <f t="shared" si="3"/>
        <v>0</v>
      </c>
      <c r="AT95" s="44"/>
      <c r="AU95" s="37"/>
      <c r="AV95" s="37"/>
      <c r="AW95" s="44"/>
      <c r="AX95" s="44"/>
    </row>
    <row r="96" spans="1:51" ht="20.100000000000001" customHeight="1" x14ac:dyDescent="0.25">
      <c r="A96" s="35">
        <v>91</v>
      </c>
      <c r="B96" s="58"/>
      <c r="C96" s="37"/>
      <c r="D96" s="97"/>
      <c r="E96" s="98"/>
      <c r="F96" s="101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3"/>
      <c r="T96" s="83"/>
      <c r="U96" s="85"/>
      <c r="V96" s="83"/>
      <c r="W96" s="85"/>
      <c r="X96" s="97"/>
      <c r="Y96" s="100"/>
      <c r="Z96" s="100"/>
      <c r="AA96" s="100"/>
      <c r="AB96" s="100"/>
      <c r="AC96" s="100"/>
      <c r="AD96" s="98"/>
      <c r="AE96" s="83"/>
      <c r="AF96" s="84"/>
      <c r="AG96" s="85"/>
      <c r="AH96" s="83"/>
      <c r="AI96" s="84"/>
      <c r="AJ96" s="84"/>
      <c r="AK96" s="85"/>
      <c r="AL96" s="83"/>
      <c r="AM96" s="84"/>
      <c r="AN96" s="85"/>
      <c r="AO96" s="60"/>
      <c r="AP96" s="61"/>
      <c r="AQ96" s="78">
        <f t="shared" si="2"/>
        <v>0</v>
      </c>
      <c r="AR96" s="37"/>
      <c r="AS96" s="78">
        <f t="shared" si="3"/>
        <v>0</v>
      </c>
      <c r="AT96" s="37"/>
      <c r="AU96" s="37"/>
      <c r="AV96" s="37"/>
      <c r="AW96" s="37"/>
      <c r="AX96" s="37"/>
    </row>
    <row r="97" spans="1:50" ht="20.100000000000001" customHeight="1" x14ac:dyDescent="0.25">
      <c r="A97" s="35">
        <v>92</v>
      </c>
      <c r="B97" s="58"/>
      <c r="C97" s="37"/>
      <c r="D97" s="97"/>
      <c r="E97" s="98"/>
      <c r="F97" s="101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3"/>
      <c r="T97" s="83"/>
      <c r="U97" s="85"/>
      <c r="V97" s="83"/>
      <c r="W97" s="85"/>
      <c r="X97" s="97"/>
      <c r="Y97" s="100"/>
      <c r="Z97" s="100"/>
      <c r="AA97" s="100"/>
      <c r="AB97" s="100"/>
      <c r="AC97" s="100"/>
      <c r="AD97" s="98"/>
      <c r="AE97" s="83"/>
      <c r="AF97" s="84"/>
      <c r="AG97" s="85"/>
      <c r="AH97" s="83"/>
      <c r="AI97" s="84"/>
      <c r="AJ97" s="84"/>
      <c r="AK97" s="85"/>
      <c r="AL97" s="83"/>
      <c r="AM97" s="84"/>
      <c r="AN97" s="85"/>
      <c r="AO97" s="60"/>
      <c r="AP97" s="61"/>
      <c r="AQ97" s="78">
        <f t="shared" si="2"/>
        <v>0</v>
      </c>
      <c r="AR97" s="37"/>
      <c r="AS97" s="78">
        <f t="shared" si="3"/>
        <v>0</v>
      </c>
      <c r="AT97" s="37"/>
      <c r="AU97" s="37"/>
      <c r="AV97" s="37"/>
      <c r="AW97" s="37"/>
      <c r="AX97" s="37"/>
    </row>
    <row r="98" spans="1:50" s="45" customFormat="1" ht="20.100000000000001" customHeight="1" x14ac:dyDescent="0.25">
      <c r="A98" s="35">
        <v>93</v>
      </c>
      <c r="B98" s="51"/>
      <c r="C98" s="37"/>
      <c r="D98" s="97"/>
      <c r="E98" s="98"/>
      <c r="F98" s="101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3"/>
      <c r="T98" s="83"/>
      <c r="U98" s="85"/>
      <c r="V98" s="83"/>
      <c r="W98" s="85"/>
      <c r="X98" s="97"/>
      <c r="Y98" s="100"/>
      <c r="Z98" s="100"/>
      <c r="AA98" s="100"/>
      <c r="AB98" s="100"/>
      <c r="AC98" s="100"/>
      <c r="AD98" s="98"/>
      <c r="AE98" s="83"/>
      <c r="AF98" s="84"/>
      <c r="AG98" s="85"/>
      <c r="AH98" s="83"/>
      <c r="AI98" s="84"/>
      <c r="AJ98" s="84"/>
      <c r="AK98" s="85"/>
      <c r="AL98" s="83"/>
      <c r="AM98" s="84"/>
      <c r="AN98" s="85"/>
      <c r="AO98" s="63"/>
      <c r="AP98" s="64"/>
      <c r="AQ98" s="78">
        <f t="shared" si="2"/>
        <v>0</v>
      </c>
      <c r="AR98" s="37"/>
      <c r="AS98" s="78">
        <f t="shared" si="3"/>
        <v>0</v>
      </c>
      <c r="AT98" s="44"/>
      <c r="AU98" s="37"/>
      <c r="AV98" s="37"/>
      <c r="AW98" s="44"/>
      <c r="AX98" s="44"/>
    </row>
    <row r="99" spans="1:50" ht="20.100000000000001" customHeight="1" x14ac:dyDescent="0.25">
      <c r="A99" s="35">
        <v>94</v>
      </c>
      <c r="B99" s="58"/>
      <c r="C99" s="37"/>
      <c r="D99" s="97"/>
      <c r="E99" s="98"/>
      <c r="F99" s="101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3"/>
      <c r="T99" s="83"/>
      <c r="U99" s="85"/>
      <c r="V99" s="83"/>
      <c r="W99" s="85"/>
      <c r="X99" s="97"/>
      <c r="Y99" s="100"/>
      <c r="Z99" s="100"/>
      <c r="AA99" s="100"/>
      <c r="AB99" s="100"/>
      <c r="AC99" s="100"/>
      <c r="AD99" s="98"/>
      <c r="AE99" s="83"/>
      <c r="AF99" s="84"/>
      <c r="AG99" s="85"/>
      <c r="AH99" s="83"/>
      <c r="AI99" s="84"/>
      <c r="AJ99" s="84"/>
      <c r="AK99" s="85"/>
      <c r="AL99" s="83"/>
      <c r="AM99" s="84"/>
      <c r="AN99" s="85"/>
      <c r="AO99" s="60"/>
      <c r="AP99" s="61"/>
      <c r="AQ99" s="78">
        <f t="shared" si="2"/>
        <v>0</v>
      </c>
      <c r="AR99" s="37"/>
      <c r="AS99" s="78">
        <f t="shared" si="3"/>
        <v>0</v>
      </c>
      <c r="AT99" s="37"/>
      <c r="AU99" s="37"/>
      <c r="AV99" s="37"/>
      <c r="AW99" s="37"/>
      <c r="AX99" s="37"/>
    </row>
    <row r="100" spans="1:50" ht="20.100000000000001" customHeight="1" x14ac:dyDescent="0.25">
      <c r="A100" s="35">
        <v>95</v>
      </c>
      <c r="B100" s="39"/>
      <c r="C100" s="37"/>
      <c r="D100" s="97"/>
      <c r="E100" s="98"/>
      <c r="F100" s="101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3"/>
      <c r="T100" s="83"/>
      <c r="U100" s="85"/>
      <c r="V100" s="83"/>
      <c r="W100" s="85"/>
      <c r="X100" s="97"/>
      <c r="Y100" s="100"/>
      <c r="Z100" s="100"/>
      <c r="AA100" s="100"/>
      <c r="AB100" s="100"/>
      <c r="AC100" s="100"/>
      <c r="AD100" s="98"/>
      <c r="AE100" s="83"/>
      <c r="AF100" s="84"/>
      <c r="AG100" s="85"/>
      <c r="AH100" s="83"/>
      <c r="AI100" s="84"/>
      <c r="AJ100" s="84"/>
      <c r="AK100" s="85"/>
      <c r="AL100" s="83"/>
      <c r="AM100" s="84"/>
      <c r="AN100" s="85"/>
      <c r="AO100" s="60"/>
      <c r="AP100" s="61"/>
      <c r="AQ100" s="78">
        <f t="shared" si="2"/>
        <v>0</v>
      </c>
      <c r="AR100" s="37"/>
      <c r="AS100" s="78">
        <f t="shared" si="3"/>
        <v>0</v>
      </c>
      <c r="AT100" s="37"/>
      <c r="AU100" s="37"/>
      <c r="AV100" s="37"/>
      <c r="AW100" s="37"/>
      <c r="AX100" s="37"/>
    </row>
    <row r="101" spans="1:50" ht="20.100000000000001" customHeight="1" x14ac:dyDescent="0.25">
      <c r="A101" s="35">
        <v>96</v>
      </c>
      <c r="B101" s="58"/>
      <c r="C101" s="37"/>
      <c r="D101" s="97"/>
      <c r="E101" s="98"/>
      <c r="F101" s="101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3"/>
      <c r="T101" s="83"/>
      <c r="U101" s="85"/>
      <c r="V101" s="83"/>
      <c r="W101" s="85"/>
      <c r="X101" s="97"/>
      <c r="Y101" s="100"/>
      <c r="Z101" s="100"/>
      <c r="AA101" s="100"/>
      <c r="AB101" s="100"/>
      <c r="AC101" s="100"/>
      <c r="AD101" s="98"/>
      <c r="AE101" s="83"/>
      <c r="AF101" s="84"/>
      <c r="AG101" s="85"/>
      <c r="AH101" s="83"/>
      <c r="AI101" s="84"/>
      <c r="AJ101" s="84"/>
      <c r="AK101" s="85"/>
      <c r="AL101" s="83"/>
      <c r="AM101" s="84"/>
      <c r="AN101" s="85"/>
      <c r="AO101" s="60"/>
      <c r="AP101" s="61"/>
      <c r="AQ101" s="78">
        <f t="shared" si="2"/>
        <v>0</v>
      </c>
      <c r="AR101" s="37"/>
      <c r="AS101" s="78">
        <f t="shared" si="3"/>
        <v>0</v>
      </c>
      <c r="AT101" s="37"/>
      <c r="AU101" s="37"/>
      <c r="AV101" s="37"/>
      <c r="AW101" s="37"/>
      <c r="AX101" s="37"/>
    </row>
    <row r="102" spans="1:50" ht="20.100000000000001" customHeight="1" x14ac:dyDescent="0.25">
      <c r="A102" s="35">
        <v>97</v>
      </c>
      <c r="B102" s="58"/>
      <c r="C102" s="37"/>
      <c r="D102" s="97"/>
      <c r="E102" s="98"/>
      <c r="F102" s="101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3"/>
      <c r="T102" s="83"/>
      <c r="U102" s="85"/>
      <c r="V102" s="83"/>
      <c r="W102" s="85"/>
      <c r="X102" s="97"/>
      <c r="Y102" s="100"/>
      <c r="Z102" s="100"/>
      <c r="AA102" s="100"/>
      <c r="AB102" s="100"/>
      <c r="AC102" s="100"/>
      <c r="AD102" s="98"/>
      <c r="AE102" s="83"/>
      <c r="AF102" s="84"/>
      <c r="AG102" s="85"/>
      <c r="AH102" s="83"/>
      <c r="AI102" s="84"/>
      <c r="AJ102" s="84"/>
      <c r="AK102" s="85"/>
      <c r="AL102" s="83"/>
      <c r="AM102" s="84"/>
      <c r="AN102" s="85"/>
      <c r="AO102" s="60"/>
      <c r="AP102" s="61"/>
      <c r="AQ102" s="78">
        <f t="shared" si="2"/>
        <v>0</v>
      </c>
      <c r="AR102" s="37"/>
      <c r="AS102" s="78">
        <f t="shared" si="3"/>
        <v>0</v>
      </c>
      <c r="AT102" s="37"/>
      <c r="AU102" s="37"/>
      <c r="AV102" s="37"/>
      <c r="AW102" s="37"/>
      <c r="AX102" s="37"/>
    </row>
    <row r="103" spans="1:50" ht="20.100000000000001" customHeight="1" x14ac:dyDescent="0.25">
      <c r="A103" s="35">
        <v>98</v>
      </c>
      <c r="B103" s="58"/>
      <c r="C103" s="37"/>
      <c r="D103" s="97"/>
      <c r="E103" s="98"/>
      <c r="F103" s="101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3"/>
      <c r="T103" s="83"/>
      <c r="U103" s="85"/>
      <c r="V103" s="83"/>
      <c r="W103" s="85"/>
      <c r="X103" s="97"/>
      <c r="Y103" s="100"/>
      <c r="Z103" s="100"/>
      <c r="AA103" s="100"/>
      <c r="AB103" s="100"/>
      <c r="AC103" s="100"/>
      <c r="AD103" s="98"/>
      <c r="AE103" s="83"/>
      <c r="AF103" s="84"/>
      <c r="AG103" s="85"/>
      <c r="AH103" s="83"/>
      <c r="AI103" s="84"/>
      <c r="AJ103" s="84"/>
      <c r="AK103" s="85"/>
      <c r="AL103" s="83"/>
      <c r="AM103" s="84"/>
      <c r="AN103" s="85"/>
      <c r="AO103" s="60"/>
      <c r="AP103" s="61"/>
      <c r="AQ103" s="78">
        <f t="shared" si="2"/>
        <v>0</v>
      </c>
      <c r="AR103" s="37"/>
      <c r="AS103" s="78">
        <f t="shared" si="3"/>
        <v>0</v>
      </c>
      <c r="AT103" s="37"/>
      <c r="AU103" s="37"/>
      <c r="AV103" s="37"/>
      <c r="AW103" s="37"/>
      <c r="AX103" s="37"/>
    </row>
    <row r="104" spans="1:50" ht="20.100000000000001" customHeight="1" x14ac:dyDescent="0.25">
      <c r="A104" s="35">
        <v>99</v>
      </c>
      <c r="B104" s="58"/>
      <c r="C104" s="37"/>
      <c r="D104" s="97"/>
      <c r="E104" s="98"/>
      <c r="F104" s="101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3"/>
      <c r="T104" s="83"/>
      <c r="U104" s="85"/>
      <c r="V104" s="83"/>
      <c r="W104" s="85"/>
      <c r="X104" s="97"/>
      <c r="Y104" s="100"/>
      <c r="Z104" s="100"/>
      <c r="AA104" s="100"/>
      <c r="AB104" s="100"/>
      <c r="AC104" s="100"/>
      <c r="AD104" s="98"/>
      <c r="AE104" s="83"/>
      <c r="AF104" s="84"/>
      <c r="AG104" s="85"/>
      <c r="AH104" s="83"/>
      <c r="AI104" s="84"/>
      <c r="AJ104" s="84"/>
      <c r="AK104" s="85"/>
      <c r="AL104" s="83"/>
      <c r="AM104" s="84"/>
      <c r="AN104" s="85"/>
      <c r="AO104" s="60"/>
      <c r="AP104" s="61"/>
      <c r="AQ104" s="78">
        <f t="shared" si="2"/>
        <v>0</v>
      </c>
      <c r="AR104" s="37"/>
      <c r="AS104" s="78">
        <f t="shared" si="3"/>
        <v>0</v>
      </c>
      <c r="AT104" s="37"/>
      <c r="AU104" s="37"/>
      <c r="AV104" s="37"/>
      <c r="AW104" s="37"/>
      <c r="AX104" s="37"/>
    </row>
    <row r="105" spans="1:50" ht="20.100000000000001" customHeight="1" x14ac:dyDescent="0.25">
      <c r="A105" s="35">
        <v>100</v>
      </c>
      <c r="B105" s="58"/>
      <c r="C105" s="37"/>
      <c r="D105" s="97"/>
      <c r="E105" s="98"/>
      <c r="F105" s="101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3"/>
      <c r="T105" s="83"/>
      <c r="U105" s="85"/>
      <c r="V105" s="83"/>
      <c r="W105" s="85"/>
      <c r="X105" s="97"/>
      <c r="Y105" s="100"/>
      <c r="Z105" s="100"/>
      <c r="AA105" s="100"/>
      <c r="AB105" s="100"/>
      <c r="AC105" s="100"/>
      <c r="AD105" s="98"/>
      <c r="AE105" s="83"/>
      <c r="AF105" s="84"/>
      <c r="AG105" s="85"/>
      <c r="AH105" s="83"/>
      <c r="AI105" s="84"/>
      <c r="AJ105" s="84"/>
      <c r="AK105" s="85"/>
      <c r="AL105" s="83"/>
      <c r="AM105" s="84"/>
      <c r="AN105" s="85"/>
      <c r="AO105" s="60"/>
      <c r="AP105" s="61"/>
      <c r="AQ105" s="78">
        <f t="shared" si="2"/>
        <v>0</v>
      </c>
      <c r="AR105" s="37"/>
      <c r="AS105" s="78">
        <f t="shared" si="3"/>
        <v>0</v>
      </c>
      <c r="AT105" s="37"/>
      <c r="AU105" s="37"/>
      <c r="AV105" s="37"/>
      <c r="AW105" s="37"/>
      <c r="AX105" s="37"/>
    </row>
    <row r="106" spans="1:50" ht="20.100000000000001" customHeight="1" x14ac:dyDescent="0.25">
      <c r="A106" s="35">
        <v>101</v>
      </c>
      <c r="B106" s="58"/>
      <c r="C106" s="37"/>
      <c r="D106" s="97"/>
      <c r="E106" s="98"/>
      <c r="F106" s="101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3"/>
      <c r="T106" s="83"/>
      <c r="U106" s="85"/>
      <c r="V106" s="83"/>
      <c r="W106" s="85"/>
      <c r="X106" s="97"/>
      <c r="Y106" s="100"/>
      <c r="Z106" s="100"/>
      <c r="AA106" s="100"/>
      <c r="AB106" s="100"/>
      <c r="AC106" s="100"/>
      <c r="AD106" s="98"/>
      <c r="AE106" s="83"/>
      <c r="AF106" s="84"/>
      <c r="AG106" s="85"/>
      <c r="AH106" s="83"/>
      <c r="AI106" s="84"/>
      <c r="AJ106" s="84"/>
      <c r="AK106" s="85"/>
      <c r="AL106" s="83"/>
      <c r="AM106" s="84"/>
      <c r="AN106" s="85"/>
      <c r="AO106" s="60"/>
      <c r="AP106" s="61"/>
      <c r="AQ106" s="78">
        <f t="shared" si="2"/>
        <v>0</v>
      </c>
      <c r="AR106" s="37"/>
      <c r="AS106" s="78">
        <f t="shared" si="3"/>
        <v>0</v>
      </c>
      <c r="AT106" s="37"/>
      <c r="AU106" s="37"/>
      <c r="AV106" s="37"/>
      <c r="AW106" s="37"/>
      <c r="AX106" s="37"/>
    </row>
    <row r="107" spans="1:50" ht="20.100000000000001" customHeight="1" x14ac:dyDescent="0.25">
      <c r="A107" s="35">
        <v>102</v>
      </c>
      <c r="B107" s="58"/>
      <c r="C107" s="37"/>
      <c r="D107" s="97"/>
      <c r="E107" s="98"/>
      <c r="F107" s="101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3"/>
      <c r="T107" s="83"/>
      <c r="U107" s="85"/>
      <c r="V107" s="83"/>
      <c r="W107" s="85"/>
      <c r="X107" s="97"/>
      <c r="Y107" s="100"/>
      <c r="Z107" s="100"/>
      <c r="AA107" s="100"/>
      <c r="AB107" s="100"/>
      <c r="AC107" s="100"/>
      <c r="AD107" s="98"/>
      <c r="AE107" s="83"/>
      <c r="AF107" s="84"/>
      <c r="AG107" s="85"/>
      <c r="AH107" s="83"/>
      <c r="AI107" s="84"/>
      <c r="AJ107" s="84"/>
      <c r="AK107" s="85"/>
      <c r="AL107" s="83"/>
      <c r="AM107" s="84"/>
      <c r="AN107" s="85"/>
      <c r="AO107" s="60"/>
      <c r="AP107" s="61"/>
      <c r="AQ107" s="78">
        <f t="shared" si="2"/>
        <v>0</v>
      </c>
      <c r="AR107" s="37"/>
      <c r="AS107" s="78">
        <f t="shared" si="3"/>
        <v>0</v>
      </c>
      <c r="AT107" s="37"/>
      <c r="AU107" s="37"/>
      <c r="AV107" s="37"/>
      <c r="AW107" s="37"/>
      <c r="AX107" s="37"/>
    </row>
    <row r="108" spans="1:50" ht="20.100000000000001" customHeight="1" x14ac:dyDescent="0.25">
      <c r="A108" s="35">
        <v>103</v>
      </c>
      <c r="B108" s="58"/>
      <c r="C108" s="37"/>
      <c r="D108" s="97"/>
      <c r="E108" s="98"/>
      <c r="F108" s="101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3"/>
      <c r="T108" s="83"/>
      <c r="U108" s="85"/>
      <c r="V108" s="83"/>
      <c r="W108" s="85"/>
      <c r="X108" s="97"/>
      <c r="Y108" s="100"/>
      <c r="Z108" s="100"/>
      <c r="AA108" s="100"/>
      <c r="AB108" s="100"/>
      <c r="AC108" s="100"/>
      <c r="AD108" s="98"/>
      <c r="AE108" s="83"/>
      <c r="AF108" s="84"/>
      <c r="AG108" s="85"/>
      <c r="AH108" s="83"/>
      <c r="AI108" s="84"/>
      <c r="AJ108" s="84"/>
      <c r="AK108" s="85"/>
      <c r="AL108" s="83"/>
      <c r="AM108" s="84"/>
      <c r="AN108" s="85"/>
      <c r="AO108" s="60"/>
      <c r="AP108" s="61"/>
      <c r="AQ108" s="78">
        <f t="shared" si="2"/>
        <v>0</v>
      </c>
      <c r="AR108" s="37"/>
      <c r="AS108" s="78">
        <f t="shared" si="3"/>
        <v>0</v>
      </c>
      <c r="AT108" s="37"/>
      <c r="AU108" s="37"/>
      <c r="AV108" s="37"/>
      <c r="AW108" s="37"/>
      <c r="AX108" s="37"/>
    </row>
    <row r="109" spans="1:50" ht="20.100000000000001" customHeight="1" x14ac:dyDescent="0.25">
      <c r="A109" s="35">
        <v>104</v>
      </c>
      <c r="B109" s="58"/>
      <c r="C109" s="37"/>
      <c r="D109" s="97"/>
      <c r="E109" s="98"/>
      <c r="F109" s="101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3"/>
      <c r="T109" s="83"/>
      <c r="U109" s="85"/>
      <c r="V109" s="83"/>
      <c r="W109" s="85"/>
      <c r="X109" s="97"/>
      <c r="Y109" s="100"/>
      <c r="Z109" s="100"/>
      <c r="AA109" s="100"/>
      <c r="AB109" s="100"/>
      <c r="AC109" s="100"/>
      <c r="AD109" s="98"/>
      <c r="AE109" s="83"/>
      <c r="AF109" s="84"/>
      <c r="AG109" s="85"/>
      <c r="AH109" s="83"/>
      <c r="AI109" s="84"/>
      <c r="AJ109" s="84"/>
      <c r="AK109" s="85"/>
      <c r="AL109" s="83"/>
      <c r="AM109" s="84"/>
      <c r="AN109" s="85"/>
      <c r="AO109" s="60"/>
      <c r="AP109" s="61"/>
      <c r="AQ109" s="78">
        <f t="shared" si="2"/>
        <v>0</v>
      </c>
      <c r="AR109" s="37"/>
      <c r="AS109" s="78">
        <f t="shared" si="3"/>
        <v>0</v>
      </c>
      <c r="AT109" s="37"/>
      <c r="AU109" s="37"/>
      <c r="AV109" s="37"/>
      <c r="AW109" s="37"/>
      <c r="AX109" s="37"/>
    </row>
    <row r="110" spans="1:50" ht="20.100000000000001" customHeight="1" x14ac:dyDescent="0.25">
      <c r="A110" s="35">
        <v>105</v>
      </c>
      <c r="B110" s="58"/>
      <c r="C110" s="37"/>
      <c r="D110" s="97"/>
      <c r="E110" s="98"/>
      <c r="F110" s="101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3"/>
      <c r="T110" s="83"/>
      <c r="U110" s="85"/>
      <c r="V110" s="83"/>
      <c r="W110" s="85"/>
      <c r="X110" s="97"/>
      <c r="Y110" s="100"/>
      <c r="Z110" s="100"/>
      <c r="AA110" s="100"/>
      <c r="AB110" s="100"/>
      <c r="AC110" s="100"/>
      <c r="AD110" s="98"/>
      <c r="AE110" s="83"/>
      <c r="AF110" s="84"/>
      <c r="AG110" s="85"/>
      <c r="AH110" s="83"/>
      <c r="AI110" s="84"/>
      <c r="AJ110" s="84"/>
      <c r="AK110" s="85"/>
      <c r="AL110" s="83"/>
      <c r="AM110" s="84"/>
      <c r="AN110" s="85"/>
      <c r="AO110" s="60"/>
      <c r="AP110" s="61"/>
      <c r="AQ110" s="78">
        <f t="shared" si="2"/>
        <v>0</v>
      </c>
      <c r="AR110" s="37"/>
      <c r="AS110" s="78">
        <f t="shared" si="3"/>
        <v>0</v>
      </c>
      <c r="AT110" s="37"/>
      <c r="AU110" s="37"/>
      <c r="AV110" s="37"/>
      <c r="AW110" s="37"/>
      <c r="AX110" s="37"/>
    </row>
    <row r="111" spans="1:50" ht="20.100000000000001" customHeight="1" x14ac:dyDescent="0.25">
      <c r="A111" s="35">
        <v>106</v>
      </c>
      <c r="B111" s="58"/>
      <c r="C111" s="37"/>
      <c r="D111" s="97"/>
      <c r="E111" s="98"/>
      <c r="F111" s="101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3"/>
      <c r="T111" s="83"/>
      <c r="U111" s="85"/>
      <c r="V111" s="83"/>
      <c r="W111" s="85"/>
      <c r="X111" s="97"/>
      <c r="Y111" s="100"/>
      <c r="Z111" s="100"/>
      <c r="AA111" s="100"/>
      <c r="AB111" s="100"/>
      <c r="AC111" s="100"/>
      <c r="AD111" s="98"/>
      <c r="AE111" s="83"/>
      <c r="AF111" s="84"/>
      <c r="AG111" s="85"/>
      <c r="AH111" s="83"/>
      <c r="AI111" s="84"/>
      <c r="AJ111" s="84"/>
      <c r="AK111" s="85"/>
      <c r="AL111" s="83"/>
      <c r="AM111" s="84"/>
      <c r="AN111" s="85"/>
      <c r="AO111" s="60"/>
      <c r="AP111" s="61"/>
      <c r="AQ111" s="78">
        <f t="shared" si="2"/>
        <v>0</v>
      </c>
      <c r="AR111" s="37"/>
      <c r="AS111" s="78">
        <f t="shared" si="3"/>
        <v>0</v>
      </c>
      <c r="AT111" s="37"/>
      <c r="AU111" s="37"/>
      <c r="AV111" s="37"/>
      <c r="AW111" s="37"/>
      <c r="AX111" s="37"/>
    </row>
    <row r="112" spans="1:50" ht="20.100000000000001" customHeight="1" x14ac:dyDescent="0.25">
      <c r="A112" s="35">
        <v>107</v>
      </c>
      <c r="B112" s="58"/>
      <c r="C112" s="37"/>
      <c r="D112" s="97"/>
      <c r="E112" s="98"/>
      <c r="F112" s="101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3"/>
      <c r="T112" s="83"/>
      <c r="U112" s="85"/>
      <c r="V112" s="83"/>
      <c r="W112" s="85"/>
      <c r="X112" s="97"/>
      <c r="Y112" s="100"/>
      <c r="Z112" s="100"/>
      <c r="AA112" s="100"/>
      <c r="AB112" s="100"/>
      <c r="AC112" s="100"/>
      <c r="AD112" s="98"/>
      <c r="AE112" s="83"/>
      <c r="AF112" s="84"/>
      <c r="AG112" s="85"/>
      <c r="AH112" s="83"/>
      <c r="AI112" s="84"/>
      <c r="AJ112" s="84"/>
      <c r="AK112" s="85"/>
      <c r="AL112" s="83"/>
      <c r="AM112" s="84"/>
      <c r="AN112" s="85"/>
      <c r="AO112" s="60"/>
      <c r="AP112" s="61"/>
      <c r="AQ112" s="78">
        <f t="shared" si="2"/>
        <v>0</v>
      </c>
      <c r="AR112" s="37"/>
      <c r="AS112" s="78">
        <f t="shared" si="3"/>
        <v>0</v>
      </c>
      <c r="AT112" s="37"/>
      <c r="AU112" s="37"/>
      <c r="AV112" s="37"/>
      <c r="AW112" s="37"/>
      <c r="AX112" s="37"/>
    </row>
    <row r="113" spans="1:50" ht="20.100000000000001" customHeight="1" x14ac:dyDescent="0.25">
      <c r="A113" s="35">
        <v>108</v>
      </c>
      <c r="B113" s="58"/>
      <c r="C113" s="37"/>
      <c r="D113" s="97"/>
      <c r="E113" s="98"/>
      <c r="F113" s="101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3"/>
      <c r="T113" s="83"/>
      <c r="U113" s="85"/>
      <c r="V113" s="83"/>
      <c r="W113" s="85"/>
      <c r="X113" s="97"/>
      <c r="Y113" s="100"/>
      <c r="Z113" s="100"/>
      <c r="AA113" s="100"/>
      <c r="AB113" s="100"/>
      <c r="AC113" s="100"/>
      <c r="AD113" s="98"/>
      <c r="AE113" s="83"/>
      <c r="AF113" s="84"/>
      <c r="AG113" s="85"/>
      <c r="AH113" s="83"/>
      <c r="AI113" s="84"/>
      <c r="AJ113" s="84"/>
      <c r="AK113" s="85"/>
      <c r="AL113" s="83"/>
      <c r="AM113" s="84"/>
      <c r="AN113" s="85"/>
      <c r="AO113" s="60"/>
      <c r="AP113" s="61"/>
      <c r="AQ113" s="78">
        <f t="shared" si="2"/>
        <v>0</v>
      </c>
      <c r="AR113" s="37"/>
      <c r="AS113" s="78">
        <f t="shared" si="3"/>
        <v>0</v>
      </c>
      <c r="AT113" s="37"/>
      <c r="AU113" s="37"/>
      <c r="AV113" s="37"/>
      <c r="AW113" s="37"/>
      <c r="AX113" s="37"/>
    </row>
    <row r="114" spans="1:50" ht="20.100000000000001" customHeight="1" x14ac:dyDescent="0.25">
      <c r="A114" s="35">
        <v>109</v>
      </c>
      <c r="B114" s="58"/>
      <c r="C114" s="37"/>
      <c r="D114" s="97"/>
      <c r="E114" s="98"/>
      <c r="F114" s="101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3"/>
      <c r="T114" s="83"/>
      <c r="U114" s="85"/>
      <c r="V114" s="83"/>
      <c r="W114" s="85"/>
      <c r="X114" s="97"/>
      <c r="Y114" s="100"/>
      <c r="Z114" s="100"/>
      <c r="AA114" s="100"/>
      <c r="AB114" s="100"/>
      <c r="AC114" s="100"/>
      <c r="AD114" s="98"/>
      <c r="AE114" s="83"/>
      <c r="AF114" s="84"/>
      <c r="AG114" s="85"/>
      <c r="AH114" s="83"/>
      <c r="AI114" s="84"/>
      <c r="AJ114" s="84"/>
      <c r="AK114" s="85"/>
      <c r="AL114" s="83"/>
      <c r="AM114" s="84"/>
      <c r="AN114" s="85"/>
      <c r="AO114" s="60"/>
      <c r="AP114" s="61"/>
      <c r="AQ114" s="78">
        <f t="shared" si="2"/>
        <v>0</v>
      </c>
      <c r="AR114" s="37"/>
      <c r="AS114" s="78">
        <f t="shared" si="3"/>
        <v>0</v>
      </c>
      <c r="AT114" s="37"/>
      <c r="AU114" s="37"/>
      <c r="AV114" s="37"/>
      <c r="AW114" s="37"/>
      <c r="AX114" s="37"/>
    </row>
    <row r="115" spans="1:50" ht="20.100000000000001" customHeight="1" x14ac:dyDescent="0.25">
      <c r="A115" s="35">
        <v>110</v>
      </c>
      <c r="B115" s="58"/>
      <c r="C115" s="37"/>
      <c r="D115" s="97"/>
      <c r="E115" s="98"/>
      <c r="F115" s="101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3"/>
      <c r="T115" s="83"/>
      <c r="U115" s="85"/>
      <c r="V115" s="83"/>
      <c r="W115" s="85"/>
      <c r="X115" s="97"/>
      <c r="Y115" s="100"/>
      <c r="Z115" s="100"/>
      <c r="AA115" s="100"/>
      <c r="AB115" s="100"/>
      <c r="AC115" s="100"/>
      <c r="AD115" s="98"/>
      <c r="AE115" s="83"/>
      <c r="AF115" s="84"/>
      <c r="AG115" s="85"/>
      <c r="AH115" s="83"/>
      <c r="AI115" s="84"/>
      <c r="AJ115" s="84"/>
      <c r="AK115" s="85"/>
      <c r="AL115" s="83"/>
      <c r="AM115" s="84"/>
      <c r="AN115" s="85"/>
      <c r="AO115" s="60"/>
      <c r="AP115" s="61"/>
      <c r="AQ115" s="78">
        <f t="shared" si="2"/>
        <v>0</v>
      </c>
      <c r="AR115" s="37"/>
      <c r="AS115" s="78">
        <f t="shared" si="3"/>
        <v>0</v>
      </c>
      <c r="AT115" s="37"/>
      <c r="AU115" s="37"/>
      <c r="AV115" s="37"/>
      <c r="AW115" s="37"/>
      <c r="AX115" s="37"/>
    </row>
    <row r="116" spans="1:50" ht="20.100000000000001" customHeight="1" x14ac:dyDescent="0.25">
      <c r="A116" s="35">
        <v>111</v>
      </c>
      <c r="B116" s="58"/>
      <c r="C116" s="37"/>
      <c r="D116" s="97"/>
      <c r="E116" s="98"/>
      <c r="F116" s="101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3"/>
      <c r="T116" s="83"/>
      <c r="U116" s="85"/>
      <c r="V116" s="83"/>
      <c r="W116" s="85"/>
      <c r="X116" s="97"/>
      <c r="Y116" s="100"/>
      <c r="Z116" s="100"/>
      <c r="AA116" s="100"/>
      <c r="AB116" s="100"/>
      <c r="AC116" s="100"/>
      <c r="AD116" s="98"/>
      <c r="AE116" s="83"/>
      <c r="AF116" s="84"/>
      <c r="AG116" s="85"/>
      <c r="AH116" s="83"/>
      <c r="AI116" s="84"/>
      <c r="AJ116" s="84"/>
      <c r="AK116" s="85"/>
      <c r="AL116" s="83"/>
      <c r="AM116" s="84"/>
      <c r="AN116" s="85"/>
      <c r="AO116" s="60"/>
      <c r="AP116" s="61"/>
      <c r="AQ116" s="78">
        <f t="shared" si="2"/>
        <v>0</v>
      </c>
      <c r="AR116" s="37"/>
      <c r="AS116" s="78">
        <f t="shared" si="3"/>
        <v>0</v>
      </c>
      <c r="AT116" s="37"/>
      <c r="AU116" s="37"/>
      <c r="AV116" s="37"/>
      <c r="AW116" s="37"/>
      <c r="AX116" s="37"/>
    </row>
    <row r="117" spans="1:50" ht="20.100000000000001" customHeight="1" x14ac:dyDescent="0.25">
      <c r="A117" s="35">
        <v>112</v>
      </c>
      <c r="B117" s="58"/>
      <c r="C117" s="37"/>
      <c r="D117" s="97"/>
      <c r="E117" s="98"/>
      <c r="F117" s="101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3"/>
      <c r="T117" s="83"/>
      <c r="U117" s="85"/>
      <c r="V117" s="83"/>
      <c r="W117" s="85"/>
      <c r="X117" s="97"/>
      <c r="Y117" s="100"/>
      <c r="Z117" s="100"/>
      <c r="AA117" s="100"/>
      <c r="AB117" s="100"/>
      <c r="AC117" s="100"/>
      <c r="AD117" s="98"/>
      <c r="AE117" s="83"/>
      <c r="AF117" s="84"/>
      <c r="AG117" s="85"/>
      <c r="AH117" s="83"/>
      <c r="AI117" s="84"/>
      <c r="AJ117" s="84"/>
      <c r="AK117" s="85"/>
      <c r="AL117" s="83"/>
      <c r="AM117" s="84"/>
      <c r="AN117" s="85"/>
      <c r="AO117" s="60"/>
      <c r="AP117" s="61"/>
      <c r="AQ117" s="78">
        <f t="shared" si="2"/>
        <v>0</v>
      </c>
      <c r="AR117" s="37"/>
      <c r="AS117" s="78">
        <f t="shared" si="3"/>
        <v>0</v>
      </c>
      <c r="AT117" s="37"/>
      <c r="AU117" s="37"/>
      <c r="AV117" s="37"/>
      <c r="AW117" s="37"/>
      <c r="AX117" s="37"/>
    </row>
    <row r="118" spans="1:50" ht="20.100000000000001" customHeight="1" x14ac:dyDescent="0.25">
      <c r="A118" s="35">
        <v>113</v>
      </c>
      <c r="B118" s="58"/>
      <c r="C118" s="37"/>
      <c r="D118" s="97"/>
      <c r="E118" s="98"/>
      <c r="F118" s="101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3"/>
      <c r="T118" s="83"/>
      <c r="U118" s="85"/>
      <c r="V118" s="83"/>
      <c r="W118" s="85"/>
      <c r="X118" s="97"/>
      <c r="Y118" s="100"/>
      <c r="Z118" s="100"/>
      <c r="AA118" s="100"/>
      <c r="AB118" s="100"/>
      <c r="AC118" s="100"/>
      <c r="AD118" s="98"/>
      <c r="AE118" s="83"/>
      <c r="AF118" s="84"/>
      <c r="AG118" s="85"/>
      <c r="AH118" s="83"/>
      <c r="AI118" s="84"/>
      <c r="AJ118" s="84"/>
      <c r="AK118" s="85"/>
      <c r="AL118" s="83"/>
      <c r="AM118" s="84"/>
      <c r="AN118" s="85"/>
      <c r="AO118" s="60"/>
      <c r="AP118" s="61"/>
      <c r="AQ118" s="78">
        <f t="shared" si="2"/>
        <v>0</v>
      </c>
      <c r="AR118" s="37"/>
      <c r="AS118" s="78">
        <f t="shared" si="3"/>
        <v>0</v>
      </c>
      <c r="AT118" s="37"/>
      <c r="AU118" s="37"/>
      <c r="AV118" s="37"/>
      <c r="AW118" s="37"/>
      <c r="AX118" s="37"/>
    </row>
    <row r="119" spans="1:50" ht="20.100000000000001" customHeight="1" x14ac:dyDescent="0.25">
      <c r="A119" s="35">
        <v>114</v>
      </c>
      <c r="B119" s="58"/>
      <c r="C119" s="37"/>
      <c r="D119" s="97"/>
      <c r="E119" s="98"/>
      <c r="F119" s="101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3"/>
      <c r="T119" s="83"/>
      <c r="U119" s="85"/>
      <c r="V119" s="83"/>
      <c r="W119" s="85"/>
      <c r="X119" s="97"/>
      <c r="Y119" s="100"/>
      <c r="Z119" s="100"/>
      <c r="AA119" s="100"/>
      <c r="AB119" s="100"/>
      <c r="AC119" s="100"/>
      <c r="AD119" s="98"/>
      <c r="AE119" s="83"/>
      <c r="AF119" s="84"/>
      <c r="AG119" s="85"/>
      <c r="AH119" s="83"/>
      <c r="AI119" s="84"/>
      <c r="AJ119" s="84"/>
      <c r="AK119" s="85"/>
      <c r="AL119" s="83"/>
      <c r="AM119" s="84"/>
      <c r="AN119" s="85"/>
      <c r="AO119" s="60"/>
      <c r="AP119" s="61"/>
      <c r="AQ119" s="78">
        <f t="shared" si="2"/>
        <v>0</v>
      </c>
      <c r="AR119" s="37"/>
      <c r="AS119" s="78">
        <f t="shared" si="3"/>
        <v>0</v>
      </c>
      <c r="AT119" s="37"/>
      <c r="AU119" s="37"/>
      <c r="AV119" s="37"/>
      <c r="AW119" s="37"/>
      <c r="AX119" s="37"/>
    </row>
    <row r="120" spans="1:50" ht="20.100000000000001" customHeight="1" x14ac:dyDescent="0.25">
      <c r="A120" s="35">
        <v>115</v>
      </c>
      <c r="B120" s="58"/>
      <c r="C120" s="37"/>
      <c r="D120" s="97"/>
      <c r="E120" s="98"/>
      <c r="F120" s="101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3"/>
      <c r="T120" s="83"/>
      <c r="U120" s="85"/>
      <c r="V120" s="83"/>
      <c r="W120" s="85"/>
      <c r="X120" s="97"/>
      <c r="Y120" s="100"/>
      <c r="Z120" s="100"/>
      <c r="AA120" s="100"/>
      <c r="AB120" s="100"/>
      <c r="AC120" s="100"/>
      <c r="AD120" s="98"/>
      <c r="AE120" s="83"/>
      <c r="AF120" s="84"/>
      <c r="AG120" s="85"/>
      <c r="AH120" s="83"/>
      <c r="AI120" s="84"/>
      <c r="AJ120" s="84"/>
      <c r="AK120" s="85"/>
      <c r="AL120" s="83"/>
      <c r="AM120" s="84"/>
      <c r="AN120" s="85"/>
      <c r="AO120" s="60"/>
      <c r="AP120" s="61"/>
      <c r="AQ120" s="78">
        <f t="shared" si="2"/>
        <v>0</v>
      </c>
      <c r="AR120" s="37"/>
      <c r="AS120" s="78">
        <f t="shared" si="3"/>
        <v>0</v>
      </c>
      <c r="AT120" s="37"/>
      <c r="AU120" s="37"/>
      <c r="AV120" s="37"/>
      <c r="AW120" s="37"/>
      <c r="AX120" s="37"/>
    </row>
    <row r="121" spans="1:50" ht="20.100000000000001" customHeight="1" x14ac:dyDescent="0.25">
      <c r="A121" s="35">
        <v>116</v>
      </c>
      <c r="B121" s="58"/>
      <c r="C121" s="37"/>
      <c r="D121" s="97"/>
      <c r="E121" s="98"/>
      <c r="F121" s="101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3"/>
      <c r="T121" s="83"/>
      <c r="U121" s="85"/>
      <c r="V121" s="83"/>
      <c r="W121" s="85"/>
      <c r="X121" s="97"/>
      <c r="Y121" s="100"/>
      <c r="Z121" s="100"/>
      <c r="AA121" s="100"/>
      <c r="AB121" s="100"/>
      <c r="AC121" s="100"/>
      <c r="AD121" s="98"/>
      <c r="AE121" s="83"/>
      <c r="AF121" s="84"/>
      <c r="AG121" s="85"/>
      <c r="AH121" s="83"/>
      <c r="AI121" s="84"/>
      <c r="AJ121" s="84"/>
      <c r="AK121" s="85"/>
      <c r="AL121" s="83"/>
      <c r="AM121" s="84"/>
      <c r="AN121" s="85"/>
      <c r="AO121" s="60"/>
      <c r="AP121" s="61"/>
      <c r="AQ121" s="78">
        <f t="shared" si="2"/>
        <v>0</v>
      </c>
      <c r="AR121" s="37"/>
      <c r="AS121" s="78">
        <f t="shared" si="3"/>
        <v>0</v>
      </c>
      <c r="AT121" s="37"/>
      <c r="AU121" s="37"/>
      <c r="AV121" s="37"/>
      <c r="AW121" s="37"/>
      <c r="AX121" s="37"/>
    </row>
    <row r="122" spans="1:50" ht="20.100000000000001" customHeight="1" x14ac:dyDescent="0.25">
      <c r="A122" s="35">
        <v>117</v>
      </c>
      <c r="B122" s="58"/>
      <c r="C122" s="37"/>
      <c r="D122" s="97"/>
      <c r="E122" s="98"/>
      <c r="F122" s="101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3"/>
      <c r="T122" s="83"/>
      <c r="U122" s="85"/>
      <c r="V122" s="83"/>
      <c r="W122" s="85"/>
      <c r="X122" s="97"/>
      <c r="Y122" s="100"/>
      <c r="Z122" s="100"/>
      <c r="AA122" s="100"/>
      <c r="AB122" s="100"/>
      <c r="AC122" s="100"/>
      <c r="AD122" s="98"/>
      <c r="AE122" s="83"/>
      <c r="AF122" s="84"/>
      <c r="AG122" s="85"/>
      <c r="AH122" s="83"/>
      <c r="AI122" s="84"/>
      <c r="AJ122" s="84"/>
      <c r="AK122" s="85"/>
      <c r="AL122" s="83"/>
      <c r="AM122" s="84"/>
      <c r="AN122" s="85"/>
      <c r="AO122" s="60"/>
      <c r="AP122" s="61"/>
      <c r="AQ122" s="78">
        <f t="shared" si="2"/>
        <v>0</v>
      </c>
      <c r="AR122" s="37"/>
      <c r="AS122" s="78">
        <f t="shared" si="3"/>
        <v>0</v>
      </c>
      <c r="AT122" s="37"/>
      <c r="AU122" s="37"/>
      <c r="AV122" s="37"/>
      <c r="AW122" s="37"/>
      <c r="AX122" s="37"/>
    </row>
    <row r="123" spans="1:50" ht="20.100000000000001" customHeight="1" x14ac:dyDescent="0.25">
      <c r="A123" s="35">
        <v>118</v>
      </c>
      <c r="B123" s="58"/>
      <c r="C123" s="37"/>
      <c r="D123" s="97"/>
      <c r="E123" s="98"/>
      <c r="F123" s="101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3"/>
      <c r="T123" s="83"/>
      <c r="U123" s="85"/>
      <c r="V123" s="83"/>
      <c r="W123" s="85"/>
      <c r="X123" s="97"/>
      <c r="Y123" s="100"/>
      <c r="Z123" s="100"/>
      <c r="AA123" s="100"/>
      <c r="AB123" s="100"/>
      <c r="AC123" s="100"/>
      <c r="AD123" s="98"/>
      <c r="AE123" s="83"/>
      <c r="AF123" s="84"/>
      <c r="AG123" s="85"/>
      <c r="AH123" s="83"/>
      <c r="AI123" s="84"/>
      <c r="AJ123" s="84"/>
      <c r="AK123" s="85"/>
      <c r="AL123" s="83"/>
      <c r="AM123" s="84"/>
      <c r="AN123" s="85"/>
      <c r="AO123" s="60"/>
      <c r="AP123" s="61"/>
      <c r="AQ123" s="78">
        <f t="shared" si="2"/>
        <v>0</v>
      </c>
      <c r="AR123" s="37"/>
      <c r="AS123" s="78">
        <f t="shared" si="3"/>
        <v>0</v>
      </c>
      <c r="AT123" s="37"/>
      <c r="AU123" s="37"/>
      <c r="AV123" s="37"/>
      <c r="AW123" s="37"/>
      <c r="AX123" s="37"/>
    </row>
    <row r="124" spans="1:50" ht="20.100000000000001" customHeight="1" x14ac:dyDescent="0.25">
      <c r="A124" s="35">
        <v>119</v>
      </c>
      <c r="B124" s="58"/>
      <c r="C124" s="37"/>
      <c r="D124" s="97"/>
      <c r="E124" s="98"/>
      <c r="F124" s="101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3"/>
      <c r="T124" s="83"/>
      <c r="U124" s="85"/>
      <c r="V124" s="83"/>
      <c r="W124" s="85"/>
      <c r="X124" s="97"/>
      <c r="Y124" s="100"/>
      <c r="Z124" s="100"/>
      <c r="AA124" s="100"/>
      <c r="AB124" s="100"/>
      <c r="AC124" s="100"/>
      <c r="AD124" s="98"/>
      <c r="AE124" s="83"/>
      <c r="AF124" s="84"/>
      <c r="AG124" s="85"/>
      <c r="AH124" s="83"/>
      <c r="AI124" s="84"/>
      <c r="AJ124" s="84"/>
      <c r="AK124" s="85"/>
      <c r="AL124" s="83"/>
      <c r="AM124" s="84"/>
      <c r="AN124" s="85"/>
      <c r="AO124" s="60"/>
      <c r="AP124" s="61"/>
      <c r="AQ124" s="78">
        <f t="shared" si="2"/>
        <v>0</v>
      </c>
      <c r="AR124" s="37"/>
      <c r="AS124" s="78">
        <f t="shared" si="3"/>
        <v>0</v>
      </c>
      <c r="AT124" s="37"/>
      <c r="AU124" s="37"/>
      <c r="AV124" s="37"/>
      <c r="AW124" s="37"/>
      <c r="AX124" s="37"/>
    </row>
    <row r="125" spans="1:50" ht="20.100000000000001" customHeight="1" x14ac:dyDescent="0.25">
      <c r="A125" s="35">
        <v>120</v>
      </c>
      <c r="B125" s="58"/>
      <c r="C125" s="37"/>
      <c r="D125" s="97"/>
      <c r="E125" s="98"/>
      <c r="F125" s="101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3"/>
      <c r="T125" s="83"/>
      <c r="U125" s="85"/>
      <c r="V125" s="83"/>
      <c r="W125" s="85"/>
      <c r="X125" s="97"/>
      <c r="Y125" s="100"/>
      <c r="Z125" s="100"/>
      <c r="AA125" s="100"/>
      <c r="AB125" s="100"/>
      <c r="AC125" s="100"/>
      <c r="AD125" s="98"/>
      <c r="AE125" s="83"/>
      <c r="AF125" s="84"/>
      <c r="AG125" s="85"/>
      <c r="AH125" s="83"/>
      <c r="AI125" s="84"/>
      <c r="AJ125" s="84"/>
      <c r="AK125" s="85"/>
      <c r="AL125" s="83"/>
      <c r="AM125" s="84"/>
      <c r="AN125" s="85"/>
      <c r="AO125" s="60"/>
      <c r="AP125" s="61"/>
      <c r="AQ125" s="78">
        <f t="shared" si="2"/>
        <v>0</v>
      </c>
      <c r="AR125" s="37"/>
      <c r="AS125" s="78">
        <f t="shared" si="3"/>
        <v>0</v>
      </c>
      <c r="AT125" s="37"/>
      <c r="AU125" s="37"/>
      <c r="AV125" s="37"/>
      <c r="AW125" s="37"/>
      <c r="AX125" s="37"/>
    </row>
    <row r="126" spans="1:50" ht="20.100000000000001" customHeight="1" x14ac:dyDescent="0.25">
      <c r="A126" s="35">
        <v>121</v>
      </c>
      <c r="B126" s="58"/>
      <c r="C126" s="37"/>
      <c r="D126" s="97"/>
      <c r="E126" s="98"/>
      <c r="F126" s="101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3"/>
      <c r="T126" s="83"/>
      <c r="U126" s="85"/>
      <c r="V126" s="83"/>
      <c r="W126" s="85"/>
      <c r="X126" s="97"/>
      <c r="Y126" s="100"/>
      <c r="Z126" s="100"/>
      <c r="AA126" s="100"/>
      <c r="AB126" s="100"/>
      <c r="AC126" s="100"/>
      <c r="AD126" s="98"/>
      <c r="AE126" s="83"/>
      <c r="AF126" s="84"/>
      <c r="AG126" s="85"/>
      <c r="AH126" s="83"/>
      <c r="AI126" s="84"/>
      <c r="AJ126" s="84"/>
      <c r="AK126" s="85"/>
      <c r="AL126" s="83"/>
      <c r="AM126" s="84"/>
      <c r="AN126" s="85"/>
      <c r="AO126" s="60"/>
      <c r="AP126" s="61"/>
      <c r="AQ126" s="78">
        <f t="shared" si="2"/>
        <v>0</v>
      </c>
      <c r="AR126" s="37"/>
      <c r="AS126" s="78">
        <f t="shared" si="3"/>
        <v>0</v>
      </c>
      <c r="AT126" s="37"/>
      <c r="AU126" s="37"/>
      <c r="AV126" s="37"/>
      <c r="AW126" s="37"/>
      <c r="AX126" s="37"/>
    </row>
    <row r="127" spans="1:50" ht="20.100000000000001" customHeight="1" x14ac:dyDescent="0.25">
      <c r="A127" s="35">
        <v>122</v>
      </c>
      <c r="B127" s="58"/>
      <c r="C127" s="37"/>
      <c r="D127" s="97"/>
      <c r="E127" s="98"/>
      <c r="F127" s="101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3"/>
      <c r="T127" s="83"/>
      <c r="U127" s="85"/>
      <c r="V127" s="83"/>
      <c r="W127" s="85"/>
      <c r="X127" s="97"/>
      <c r="Y127" s="100"/>
      <c r="Z127" s="100"/>
      <c r="AA127" s="100"/>
      <c r="AB127" s="100"/>
      <c r="AC127" s="100"/>
      <c r="AD127" s="98"/>
      <c r="AE127" s="83"/>
      <c r="AF127" s="84"/>
      <c r="AG127" s="85"/>
      <c r="AH127" s="83"/>
      <c r="AI127" s="84"/>
      <c r="AJ127" s="84"/>
      <c r="AK127" s="85"/>
      <c r="AL127" s="83"/>
      <c r="AM127" s="84"/>
      <c r="AN127" s="85"/>
      <c r="AO127" s="60"/>
      <c r="AP127" s="61"/>
      <c r="AQ127" s="78">
        <f t="shared" si="2"/>
        <v>0</v>
      </c>
      <c r="AR127" s="37"/>
      <c r="AS127" s="78">
        <f t="shared" si="3"/>
        <v>0</v>
      </c>
      <c r="AT127" s="37"/>
      <c r="AU127" s="37"/>
      <c r="AV127" s="37"/>
      <c r="AW127" s="37"/>
      <c r="AX127" s="37"/>
    </row>
    <row r="128" spans="1:50" ht="20.100000000000001" customHeight="1" x14ac:dyDescent="0.25">
      <c r="A128" s="35">
        <v>123</v>
      </c>
      <c r="B128" s="58"/>
      <c r="C128" s="37"/>
      <c r="D128" s="97"/>
      <c r="E128" s="98"/>
      <c r="F128" s="101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3"/>
      <c r="T128" s="83"/>
      <c r="U128" s="85"/>
      <c r="V128" s="83"/>
      <c r="W128" s="85"/>
      <c r="X128" s="97"/>
      <c r="Y128" s="100"/>
      <c r="Z128" s="100"/>
      <c r="AA128" s="100"/>
      <c r="AB128" s="100"/>
      <c r="AC128" s="100"/>
      <c r="AD128" s="98"/>
      <c r="AE128" s="83"/>
      <c r="AF128" s="84"/>
      <c r="AG128" s="85"/>
      <c r="AH128" s="83"/>
      <c r="AI128" s="84"/>
      <c r="AJ128" s="84"/>
      <c r="AK128" s="85"/>
      <c r="AL128" s="83"/>
      <c r="AM128" s="84"/>
      <c r="AN128" s="85"/>
      <c r="AO128" s="60"/>
      <c r="AP128" s="61"/>
      <c r="AQ128" s="78">
        <f t="shared" si="2"/>
        <v>0</v>
      </c>
      <c r="AR128" s="37"/>
      <c r="AS128" s="78">
        <f t="shared" si="3"/>
        <v>0</v>
      </c>
      <c r="AT128" s="37"/>
      <c r="AU128" s="37"/>
      <c r="AV128" s="37"/>
      <c r="AW128" s="37"/>
      <c r="AX128" s="37"/>
    </row>
    <row r="129" spans="1:50" ht="20.100000000000001" customHeight="1" x14ac:dyDescent="0.25">
      <c r="A129" s="35">
        <v>124</v>
      </c>
      <c r="B129" s="58"/>
      <c r="C129" s="37"/>
      <c r="D129" s="97"/>
      <c r="E129" s="98"/>
      <c r="F129" s="101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3"/>
      <c r="T129" s="83"/>
      <c r="U129" s="85"/>
      <c r="V129" s="83"/>
      <c r="W129" s="85"/>
      <c r="X129" s="97"/>
      <c r="Y129" s="100"/>
      <c r="Z129" s="100"/>
      <c r="AA129" s="100"/>
      <c r="AB129" s="100"/>
      <c r="AC129" s="100"/>
      <c r="AD129" s="98"/>
      <c r="AE129" s="83"/>
      <c r="AF129" s="84"/>
      <c r="AG129" s="85"/>
      <c r="AH129" s="83"/>
      <c r="AI129" s="84"/>
      <c r="AJ129" s="84"/>
      <c r="AK129" s="85"/>
      <c r="AL129" s="83"/>
      <c r="AM129" s="84"/>
      <c r="AN129" s="85"/>
      <c r="AO129" s="60"/>
      <c r="AP129" s="61"/>
      <c r="AQ129" s="78">
        <f t="shared" si="2"/>
        <v>0</v>
      </c>
      <c r="AR129" s="37"/>
      <c r="AS129" s="78">
        <f t="shared" si="3"/>
        <v>0</v>
      </c>
      <c r="AT129" s="37"/>
      <c r="AU129" s="37"/>
      <c r="AV129" s="37"/>
      <c r="AW129" s="37"/>
      <c r="AX129" s="37"/>
    </row>
    <row r="130" spans="1:50" ht="20.100000000000001" customHeight="1" x14ac:dyDescent="0.25">
      <c r="A130" s="35">
        <v>125</v>
      </c>
      <c r="B130" s="58"/>
      <c r="C130" s="37"/>
      <c r="D130" s="97"/>
      <c r="E130" s="98"/>
      <c r="F130" s="101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3"/>
      <c r="T130" s="83"/>
      <c r="U130" s="85"/>
      <c r="V130" s="83"/>
      <c r="W130" s="85"/>
      <c r="X130" s="97"/>
      <c r="Y130" s="100"/>
      <c r="Z130" s="100"/>
      <c r="AA130" s="100"/>
      <c r="AB130" s="100"/>
      <c r="AC130" s="100"/>
      <c r="AD130" s="98"/>
      <c r="AE130" s="83"/>
      <c r="AF130" s="84"/>
      <c r="AG130" s="85"/>
      <c r="AH130" s="83"/>
      <c r="AI130" s="84"/>
      <c r="AJ130" s="84"/>
      <c r="AK130" s="85"/>
      <c r="AL130" s="83"/>
      <c r="AM130" s="84"/>
      <c r="AN130" s="85"/>
      <c r="AO130" s="60"/>
      <c r="AP130" s="61"/>
      <c r="AQ130" s="78">
        <f t="shared" si="2"/>
        <v>0</v>
      </c>
      <c r="AR130" s="37"/>
      <c r="AS130" s="78">
        <f t="shared" si="3"/>
        <v>0</v>
      </c>
      <c r="AT130" s="37"/>
      <c r="AU130" s="37"/>
      <c r="AV130" s="37"/>
      <c r="AW130" s="37"/>
      <c r="AX130" s="37"/>
    </row>
    <row r="131" spans="1:50" ht="20.100000000000001" customHeight="1" x14ac:dyDescent="0.25">
      <c r="A131" s="35">
        <v>126</v>
      </c>
      <c r="B131" s="58"/>
      <c r="C131" s="37"/>
      <c r="D131" s="97"/>
      <c r="E131" s="98"/>
      <c r="F131" s="101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3"/>
      <c r="T131" s="83"/>
      <c r="U131" s="85"/>
      <c r="V131" s="83"/>
      <c r="W131" s="85"/>
      <c r="X131" s="97"/>
      <c r="Y131" s="100"/>
      <c r="Z131" s="100"/>
      <c r="AA131" s="100"/>
      <c r="AB131" s="100"/>
      <c r="AC131" s="100"/>
      <c r="AD131" s="98"/>
      <c r="AE131" s="83"/>
      <c r="AF131" s="84"/>
      <c r="AG131" s="85"/>
      <c r="AH131" s="83"/>
      <c r="AI131" s="84"/>
      <c r="AJ131" s="84"/>
      <c r="AK131" s="85"/>
      <c r="AL131" s="83"/>
      <c r="AM131" s="84"/>
      <c r="AN131" s="85"/>
      <c r="AO131" s="60"/>
      <c r="AP131" s="61"/>
      <c r="AQ131" s="78">
        <f t="shared" si="2"/>
        <v>0</v>
      </c>
      <c r="AR131" s="37"/>
      <c r="AS131" s="78">
        <f t="shared" si="3"/>
        <v>0</v>
      </c>
      <c r="AT131" s="37"/>
      <c r="AU131" s="37"/>
      <c r="AV131" s="37"/>
      <c r="AW131" s="37"/>
      <c r="AX131" s="37"/>
    </row>
    <row r="132" spans="1:50" ht="20.100000000000001" customHeight="1" x14ac:dyDescent="0.25">
      <c r="A132" s="35">
        <v>127</v>
      </c>
      <c r="B132" s="58"/>
      <c r="C132" s="37"/>
      <c r="D132" s="97"/>
      <c r="E132" s="98"/>
      <c r="F132" s="101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3"/>
      <c r="T132" s="83"/>
      <c r="U132" s="85"/>
      <c r="V132" s="83"/>
      <c r="W132" s="85"/>
      <c r="X132" s="97"/>
      <c r="Y132" s="100"/>
      <c r="Z132" s="100"/>
      <c r="AA132" s="100"/>
      <c r="AB132" s="100"/>
      <c r="AC132" s="100"/>
      <c r="AD132" s="98"/>
      <c r="AE132" s="83"/>
      <c r="AF132" s="84"/>
      <c r="AG132" s="85"/>
      <c r="AH132" s="83"/>
      <c r="AI132" s="84"/>
      <c r="AJ132" s="84"/>
      <c r="AK132" s="85"/>
      <c r="AL132" s="83"/>
      <c r="AM132" s="84"/>
      <c r="AN132" s="85"/>
      <c r="AO132" s="60"/>
      <c r="AP132" s="61"/>
      <c r="AQ132" s="78">
        <f t="shared" si="2"/>
        <v>0</v>
      </c>
      <c r="AR132" s="37"/>
      <c r="AS132" s="78">
        <f t="shared" si="3"/>
        <v>0</v>
      </c>
      <c r="AT132" s="37"/>
      <c r="AU132" s="37"/>
      <c r="AV132" s="37"/>
      <c r="AW132" s="37"/>
      <c r="AX132" s="37"/>
    </row>
    <row r="133" spans="1:50" ht="20.100000000000001" customHeight="1" x14ac:dyDescent="0.25">
      <c r="A133" s="35">
        <v>128</v>
      </c>
      <c r="B133" s="58"/>
      <c r="C133" s="37"/>
      <c r="D133" s="97"/>
      <c r="E133" s="98"/>
      <c r="F133" s="101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3"/>
      <c r="T133" s="83"/>
      <c r="U133" s="85"/>
      <c r="V133" s="83"/>
      <c r="W133" s="85"/>
      <c r="X133" s="97"/>
      <c r="Y133" s="100"/>
      <c r="Z133" s="100"/>
      <c r="AA133" s="100"/>
      <c r="AB133" s="100"/>
      <c r="AC133" s="100"/>
      <c r="AD133" s="98"/>
      <c r="AE133" s="83"/>
      <c r="AF133" s="84"/>
      <c r="AG133" s="85"/>
      <c r="AH133" s="83"/>
      <c r="AI133" s="84"/>
      <c r="AJ133" s="84"/>
      <c r="AK133" s="85"/>
      <c r="AL133" s="83"/>
      <c r="AM133" s="84"/>
      <c r="AN133" s="85"/>
      <c r="AO133" s="60"/>
      <c r="AP133" s="61"/>
      <c r="AQ133" s="78">
        <f t="shared" si="2"/>
        <v>0</v>
      </c>
      <c r="AR133" s="37"/>
      <c r="AS133" s="78">
        <f t="shared" si="3"/>
        <v>0</v>
      </c>
      <c r="AT133" s="37"/>
      <c r="AU133" s="37"/>
      <c r="AV133" s="37"/>
      <c r="AW133" s="37"/>
      <c r="AX133" s="37"/>
    </row>
    <row r="134" spans="1:50" ht="20.100000000000001" customHeight="1" x14ac:dyDescent="0.25">
      <c r="A134" s="35">
        <v>129</v>
      </c>
      <c r="B134" s="58"/>
      <c r="C134" s="37"/>
      <c r="D134" s="97"/>
      <c r="E134" s="98"/>
      <c r="F134" s="101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3"/>
      <c r="T134" s="83"/>
      <c r="U134" s="85"/>
      <c r="V134" s="83"/>
      <c r="W134" s="85"/>
      <c r="X134" s="97"/>
      <c r="Y134" s="100"/>
      <c r="Z134" s="100"/>
      <c r="AA134" s="100"/>
      <c r="AB134" s="100"/>
      <c r="AC134" s="100"/>
      <c r="AD134" s="98"/>
      <c r="AE134" s="83"/>
      <c r="AF134" s="84"/>
      <c r="AG134" s="85"/>
      <c r="AH134" s="83"/>
      <c r="AI134" s="84"/>
      <c r="AJ134" s="84"/>
      <c r="AK134" s="85"/>
      <c r="AL134" s="83"/>
      <c r="AM134" s="84"/>
      <c r="AN134" s="85"/>
      <c r="AO134" s="60"/>
      <c r="AP134" s="61"/>
      <c r="AQ134" s="78">
        <f t="shared" si="2"/>
        <v>0</v>
      </c>
      <c r="AR134" s="37"/>
      <c r="AS134" s="78">
        <f t="shared" si="3"/>
        <v>0</v>
      </c>
      <c r="AT134" s="37"/>
      <c r="AU134" s="37"/>
      <c r="AV134" s="37"/>
      <c r="AW134" s="37"/>
      <c r="AX134" s="37"/>
    </row>
    <row r="135" spans="1:50" ht="20.100000000000001" customHeight="1" x14ac:dyDescent="0.25">
      <c r="A135" s="35">
        <v>130</v>
      </c>
      <c r="B135" s="58"/>
      <c r="C135" s="37"/>
      <c r="D135" s="97"/>
      <c r="E135" s="98"/>
      <c r="F135" s="101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3"/>
      <c r="T135" s="83"/>
      <c r="U135" s="85"/>
      <c r="V135" s="83"/>
      <c r="W135" s="85"/>
      <c r="X135" s="97"/>
      <c r="Y135" s="100"/>
      <c r="Z135" s="100"/>
      <c r="AA135" s="100"/>
      <c r="AB135" s="100"/>
      <c r="AC135" s="100"/>
      <c r="AD135" s="98"/>
      <c r="AE135" s="83"/>
      <c r="AF135" s="84"/>
      <c r="AG135" s="85"/>
      <c r="AH135" s="83"/>
      <c r="AI135" s="84"/>
      <c r="AJ135" s="84"/>
      <c r="AK135" s="85"/>
      <c r="AL135" s="83"/>
      <c r="AM135" s="84"/>
      <c r="AN135" s="85"/>
      <c r="AO135" s="60"/>
      <c r="AP135" s="61"/>
      <c r="AQ135" s="78">
        <f t="shared" ref="AQ135:AQ198" si="4">AP135-B135</f>
        <v>0</v>
      </c>
      <c r="AR135" s="37"/>
      <c r="AS135" s="78">
        <f t="shared" ref="AS135:AS198" si="5">AP135-AR135</f>
        <v>0</v>
      </c>
      <c r="AT135" s="37"/>
      <c r="AU135" s="37"/>
      <c r="AV135" s="37"/>
      <c r="AW135" s="37"/>
      <c r="AX135" s="37"/>
    </row>
    <row r="136" spans="1:50" ht="20.100000000000001" customHeight="1" x14ac:dyDescent="0.25">
      <c r="A136" s="35">
        <v>131</v>
      </c>
      <c r="B136" s="58"/>
      <c r="C136" s="37"/>
      <c r="D136" s="97"/>
      <c r="E136" s="98"/>
      <c r="F136" s="101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3"/>
      <c r="T136" s="83"/>
      <c r="U136" s="85"/>
      <c r="V136" s="83"/>
      <c r="W136" s="85"/>
      <c r="X136" s="97"/>
      <c r="Y136" s="100"/>
      <c r="Z136" s="100"/>
      <c r="AA136" s="100"/>
      <c r="AB136" s="100"/>
      <c r="AC136" s="100"/>
      <c r="AD136" s="98"/>
      <c r="AE136" s="83"/>
      <c r="AF136" s="84"/>
      <c r="AG136" s="85"/>
      <c r="AH136" s="83"/>
      <c r="AI136" s="84"/>
      <c r="AJ136" s="84"/>
      <c r="AK136" s="85"/>
      <c r="AL136" s="83"/>
      <c r="AM136" s="84"/>
      <c r="AN136" s="85"/>
      <c r="AO136" s="60"/>
      <c r="AP136" s="61"/>
      <c r="AQ136" s="78">
        <f t="shared" si="4"/>
        <v>0</v>
      </c>
      <c r="AR136" s="37"/>
      <c r="AS136" s="78">
        <f t="shared" si="5"/>
        <v>0</v>
      </c>
      <c r="AT136" s="37"/>
      <c r="AU136" s="37"/>
      <c r="AV136" s="37"/>
      <c r="AW136" s="37"/>
      <c r="AX136" s="37"/>
    </row>
    <row r="137" spans="1:50" ht="20.100000000000001" customHeight="1" x14ac:dyDescent="0.25">
      <c r="A137" s="35">
        <v>132</v>
      </c>
      <c r="B137" s="58"/>
      <c r="C137" s="37"/>
      <c r="D137" s="97"/>
      <c r="E137" s="98"/>
      <c r="F137" s="101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3"/>
      <c r="T137" s="83"/>
      <c r="U137" s="85"/>
      <c r="V137" s="83"/>
      <c r="W137" s="85"/>
      <c r="X137" s="97"/>
      <c r="Y137" s="100"/>
      <c r="Z137" s="100"/>
      <c r="AA137" s="100"/>
      <c r="AB137" s="100"/>
      <c r="AC137" s="100"/>
      <c r="AD137" s="98"/>
      <c r="AE137" s="83"/>
      <c r="AF137" s="84"/>
      <c r="AG137" s="85"/>
      <c r="AH137" s="83"/>
      <c r="AI137" s="84"/>
      <c r="AJ137" s="84"/>
      <c r="AK137" s="85"/>
      <c r="AL137" s="83"/>
      <c r="AM137" s="84"/>
      <c r="AN137" s="85"/>
      <c r="AO137" s="60"/>
      <c r="AP137" s="61"/>
      <c r="AQ137" s="78">
        <f t="shared" si="4"/>
        <v>0</v>
      </c>
      <c r="AR137" s="37"/>
      <c r="AS137" s="78">
        <f t="shared" si="5"/>
        <v>0</v>
      </c>
      <c r="AT137" s="37"/>
      <c r="AU137" s="37"/>
      <c r="AV137" s="37"/>
      <c r="AW137" s="37"/>
      <c r="AX137" s="37"/>
    </row>
    <row r="138" spans="1:50" ht="20.100000000000001" customHeight="1" x14ac:dyDescent="0.25">
      <c r="A138" s="35">
        <v>133</v>
      </c>
      <c r="B138" s="58"/>
      <c r="C138" s="37"/>
      <c r="D138" s="97"/>
      <c r="E138" s="98"/>
      <c r="F138" s="101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3"/>
      <c r="T138" s="83"/>
      <c r="U138" s="85"/>
      <c r="V138" s="83"/>
      <c r="W138" s="85"/>
      <c r="X138" s="97"/>
      <c r="Y138" s="100"/>
      <c r="Z138" s="100"/>
      <c r="AA138" s="100"/>
      <c r="AB138" s="100"/>
      <c r="AC138" s="100"/>
      <c r="AD138" s="98"/>
      <c r="AE138" s="83"/>
      <c r="AF138" s="84"/>
      <c r="AG138" s="85"/>
      <c r="AH138" s="83"/>
      <c r="AI138" s="84"/>
      <c r="AJ138" s="84"/>
      <c r="AK138" s="85"/>
      <c r="AL138" s="83"/>
      <c r="AM138" s="84"/>
      <c r="AN138" s="85"/>
      <c r="AO138" s="60"/>
      <c r="AP138" s="61"/>
      <c r="AQ138" s="78">
        <f t="shared" si="4"/>
        <v>0</v>
      </c>
      <c r="AR138" s="37"/>
      <c r="AS138" s="78">
        <f t="shared" si="5"/>
        <v>0</v>
      </c>
      <c r="AT138" s="37"/>
      <c r="AU138" s="37"/>
      <c r="AV138" s="37"/>
      <c r="AW138" s="37"/>
      <c r="AX138" s="37"/>
    </row>
    <row r="139" spans="1:50" ht="20.100000000000001" customHeight="1" x14ac:dyDescent="0.25">
      <c r="A139" s="35">
        <v>134</v>
      </c>
      <c r="B139" s="58"/>
      <c r="C139" s="37"/>
      <c r="D139" s="97"/>
      <c r="E139" s="98"/>
      <c r="F139" s="101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3"/>
      <c r="T139" s="83"/>
      <c r="U139" s="85"/>
      <c r="V139" s="83"/>
      <c r="W139" s="85"/>
      <c r="X139" s="97"/>
      <c r="Y139" s="100"/>
      <c r="Z139" s="100"/>
      <c r="AA139" s="100"/>
      <c r="AB139" s="100"/>
      <c r="AC139" s="100"/>
      <c r="AD139" s="98"/>
      <c r="AE139" s="83"/>
      <c r="AF139" s="84"/>
      <c r="AG139" s="85"/>
      <c r="AH139" s="83"/>
      <c r="AI139" s="84"/>
      <c r="AJ139" s="84"/>
      <c r="AK139" s="85"/>
      <c r="AL139" s="83"/>
      <c r="AM139" s="84"/>
      <c r="AN139" s="85"/>
      <c r="AO139" s="60"/>
      <c r="AP139" s="61"/>
      <c r="AQ139" s="78">
        <f t="shared" si="4"/>
        <v>0</v>
      </c>
      <c r="AR139" s="37"/>
      <c r="AS139" s="78">
        <f t="shared" si="5"/>
        <v>0</v>
      </c>
      <c r="AT139" s="37"/>
      <c r="AU139" s="37"/>
      <c r="AV139" s="37"/>
      <c r="AW139" s="37"/>
      <c r="AX139" s="37"/>
    </row>
    <row r="140" spans="1:50" ht="20.100000000000001" customHeight="1" x14ac:dyDescent="0.25">
      <c r="A140" s="35">
        <v>135</v>
      </c>
      <c r="B140" s="58"/>
      <c r="C140" s="37"/>
      <c r="D140" s="97"/>
      <c r="E140" s="98"/>
      <c r="F140" s="101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3"/>
      <c r="T140" s="83"/>
      <c r="U140" s="85"/>
      <c r="V140" s="83"/>
      <c r="W140" s="85"/>
      <c r="X140" s="97"/>
      <c r="Y140" s="100"/>
      <c r="Z140" s="100"/>
      <c r="AA140" s="100"/>
      <c r="AB140" s="100"/>
      <c r="AC140" s="100"/>
      <c r="AD140" s="98"/>
      <c r="AE140" s="83"/>
      <c r="AF140" s="84"/>
      <c r="AG140" s="85"/>
      <c r="AH140" s="83"/>
      <c r="AI140" s="84"/>
      <c r="AJ140" s="84"/>
      <c r="AK140" s="85"/>
      <c r="AL140" s="83"/>
      <c r="AM140" s="84"/>
      <c r="AN140" s="85"/>
      <c r="AO140" s="60"/>
      <c r="AP140" s="61"/>
      <c r="AQ140" s="78">
        <f t="shared" si="4"/>
        <v>0</v>
      </c>
      <c r="AR140" s="37"/>
      <c r="AS140" s="78">
        <f t="shared" si="5"/>
        <v>0</v>
      </c>
      <c r="AT140" s="37"/>
      <c r="AU140" s="37"/>
      <c r="AV140" s="37"/>
      <c r="AW140" s="37"/>
      <c r="AX140" s="37"/>
    </row>
    <row r="141" spans="1:50" ht="20.100000000000001" customHeight="1" x14ac:dyDescent="0.25">
      <c r="A141" s="35">
        <v>136</v>
      </c>
      <c r="B141" s="58"/>
      <c r="C141" s="37"/>
      <c r="D141" s="97"/>
      <c r="E141" s="98"/>
      <c r="F141" s="101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3"/>
      <c r="T141" s="83"/>
      <c r="U141" s="85"/>
      <c r="V141" s="83"/>
      <c r="W141" s="85"/>
      <c r="X141" s="97"/>
      <c r="Y141" s="100"/>
      <c r="Z141" s="100"/>
      <c r="AA141" s="100"/>
      <c r="AB141" s="100"/>
      <c r="AC141" s="100"/>
      <c r="AD141" s="98"/>
      <c r="AE141" s="83"/>
      <c r="AF141" s="84"/>
      <c r="AG141" s="85"/>
      <c r="AH141" s="83"/>
      <c r="AI141" s="84"/>
      <c r="AJ141" s="84"/>
      <c r="AK141" s="85"/>
      <c r="AL141" s="83"/>
      <c r="AM141" s="84"/>
      <c r="AN141" s="85"/>
      <c r="AO141" s="60"/>
      <c r="AP141" s="61"/>
      <c r="AQ141" s="78">
        <f t="shared" si="4"/>
        <v>0</v>
      </c>
      <c r="AR141" s="37"/>
      <c r="AS141" s="78">
        <f t="shared" si="5"/>
        <v>0</v>
      </c>
      <c r="AT141" s="37"/>
      <c r="AU141" s="37"/>
      <c r="AV141" s="37"/>
      <c r="AW141" s="37"/>
      <c r="AX141" s="37"/>
    </row>
    <row r="142" spans="1:50" ht="20.100000000000001" customHeight="1" x14ac:dyDescent="0.25">
      <c r="A142" s="35">
        <v>137</v>
      </c>
      <c r="B142" s="58"/>
      <c r="C142" s="37"/>
      <c r="D142" s="97"/>
      <c r="E142" s="98"/>
      <c r="F142" s="101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3"/>
      <c r="T142" s="83"/>
      <c r="U142" s="85"/>
      <c r="V142" s="83"/>
      <c r="W142" s="85"/>
      <c r="X142" s="97"/>
      <c r="Y142" s="100"/>
      <c r="Z142" s="100"/>
      <c r="AA142" s="100"/>
      <c r="AB142" s="100"/>
      <c r="AC142" s="100"/>
      <c r="AD142" s="98"/>
      <c r="AE142" s="83"/>
      <c r="AF142" s="84"/>
      <c r="AG142" s="85"/>
      <c r="AH142" s="83"/>
      <c r="AI142" s="84"/>
      <c r="AJ142" s="84"/>
      <c r="AK142" s="85"/>
      <c r="AL142" s="83"/>
      <c r="AM142" s="84"/>
      <c r="AN142" s="85"/>
      <c r="AO142" s="60"/>
      <c r="AP142" s="61"/>
      <c r="AQ142" s="78">
        <f t="shared" si="4"/>
        <v>0</v>
      </c>
      <c r="AR142" s="37"/>
      <c r="AS142" s="78">
        <f t="shared" si="5"/>
        <v>0</v>
      </c>
      <c r="AT142" s="37"/>
      <c r="AU142" s="37"/>
      <c r="AV142" s="37"/>
      <c r="AW142" s="37"/>
      <c r="AX142" s="37"/>
    </row>
    <row r="143" spans="1:50" ht="20.100000000000001" customHeight="1" x14ac:dyDescent="0.25">
      <c r="A143" s="35">
        <v>138</v>
      </c>
      <c r="B143" s="58"/>
      <c r="C143" s="37"/>
      <c r="D143" s="97"/>
      <c r="E143" s="98"/>
      <c r="F143" s="101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3"/>
      <c r="T143" s="83"/>
      <c r="U143" s="85"/>
      <c r="V143" s="83"/>
      <c r="W143" s="85"/>
      <c r="X143" s="97"/>
      <c r="Y143" s="100"/>
      <c r="Z143" s="100"/>
      <c r="AA143" s="100"/>
      <c r="AB143" s="100"/>
      <c r="AC143" s="100"/>
      <c r="AD143" s="98"/>
      <c r="AE143" s="83"/>
      <c r="AF143" s="84"/>
      <c r="AG143" s="85"/>
      <c r="AH143" s="83"/>
      <c r="AI143" s="84"/>
      <c r="AJ143" s="84"/>
      <c r="AK143" s="85"/>
      <c r="AL143" s="83"/>
      <c r="AM143" s="84"/>
      <c r="AN143" s="85"/>
      <c r="AO143" s="60"/>
      <c r="AP143" s="61"/>
      <c r="AQ143" s="78">
        <f t="shared" si="4"/>
        <v>0</v>
      </c>
      <c r="AR143" s="37"/>
      <c r="AS143" s="78">
        <f t="shared" si="5"/>
        <v>0</v>
      </c>
      <c r="AT143" s="37"/>
      <c r="AU143" s="37"/>
      <c r="AV143" s="37"/>
      <c r="AW143" s="37"/>
      <c r="AX143" s="37"/>
    </row>
    <row r="144" spans="1:50" ht="20.100000000000001" customHeight="1" x14ac:dyDescent="0.25">
      <c r="A144" s="35">
        <v>139</v>
      </c>
      <c r="B144" s="58"/>
      <c r="C144" s="37"/>
      <c r="D144" s="97"/>
      <c r="E144" s="98"/>
      <c r="F144" s="101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3"/>
      <c r="T144" s="83"/>
      <c r="U144" s="85"/>
      <c r="V144" s="83"/>
      <c r="W144" s="85"/>
      <c r="X144" s="97"/>
      <c r="Y144" s="100"/>
      <c r="Z144" s="100"/>
      <c r="AA144" s="100"/>
      <c r="AB144" s="100"/>
      <c r="AC144" s="100"/>
      <c r="AD144" s="98"/>
      <c r="AE144" s="83"/>
      <c r="AF144" s="84"/>
      <c r="AG144" s="85"/>
      <c r="AH144" s="83"/>
      <c r="AI144" s="84"/>
      <c r="AJ144" s="84"/>
      <c r="AK144" s="85"/>
      <c r="AL144" s="83"/>
      <c r="AM144" s="84"/>
      <c r="AN144" s="85"/>
      <c r="AO144" s="60"/>
      <c r="AP144" s="61"/>
      <c r="AQ144" s="78">
        <f t="shared" si="4"/>
        <v>0</v>
      </c>
      <c r="AR144" s="37"/>
      <c r="AS144" s="78">
        <f t="shared" si="5"/>
        <v>0</v>
      </c>
      <c r="AT144" s="37"/>
      <c r="AU144" s="37"/>
      <c r="AV144" s="37"/>
      <c r="AW144" s="37"/>
      <c r="AX144" s="37"/>
    </row>
    <row r="145" spans="1:50" ht="20.100000000000001" customHeight="1" x14ac:dyDescent="0.25">
      <c r="A145" s="35">
        <v>140</v>
      </c>
      <c r="B145" s="58"/>
      <c r="C145" s="37"/>
      <c r="D145" s="97"/>
      <c r="E145" s="98"/>
      <c r="F145" s="101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3"/>
      <c r="T145" s="83"/>
      <c r="U145" s="85"/>
      <c r="V145" s="83"/>
      <c r="W145" s="85"/>
      <c r="X145" s="97"/>
      <c r="Y145" s="100"/>
      <c r="Z145" s="100"/>
      <c r="AA145" s="100"/>
      <c r="AB145" s="100"/>
      <c r="AC145" s="100"/>
      <c r="AD145" s="98"/>
      <c r="AE145" s="83"/>
      <c r="AF145" s="84"/>
      <c r="AG145" s="85"/>
      <c r="AH145" s="83"/>
      <c r="AI145" s="84"/>
      <c r="AJ145" s="84"/>
      <c r="AK145" s="85"/>
      <c r="AL145" s="83"/>
      <c r="AM145" s="84"/>
      <c r="AN145" s="85"/>
      <c r="AO145" s="60"/>
      <c r="AP145" s="61"/>
      <c r="AQ145" s="78">
        <f t="shared" si="4"/>
        <v>0</v>
      </c>
      <c r="AR145" s="37"/>
      <c r="AS145" s="78">
        <f t="shared" si="5"/>
        <v>0</v>
      </c>
      <c r="AT145" s="37"/>
      <c r="AU145" s="37"/>
      <c r="AV145" s="37"/>
      <c r="AW145" s="37"/>
      <c r="AX145" s="37"/>
    </row>
    <row r="146" spans="1:50" ht="20.100000000000001" customHeight="1" x14ac:dyDescent="0.25">
      <c r="A146" s="35">
        <v>141</v>
      </c>
      <c r="B146" s="58"/>
      <c r="C146" s="37"/>
      <c r="D146" s="97"/>
      <c r="E146" s="98"/>
      <c r="F146" s="101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3"/>
      <c r="T146" s="83"/>
      <c r="U146" s="85"/>
      <c r="V146" s="83"/>
      <c r="W146" s="85"/>
      <c r="X146" s="97"/>
      <c r="Y146" s="100"/>
      <c r="Z146" s="100"/>
      <c r="AA146" s="100"/>
      <c r="AB146" s="100"/>
      <c r="AC146" s="100"/>
      <c r="AD146" s="98"/>
      <c r="AE146" s="83"/>
      <c r="AF146" s="84"/>
      <c r="AG146" s="85"/>
      <c r="AH146" s="83"/>
      <c r="AI146" s="84"/>
      <c r="AJ146" s="84"/>
      <c r="AK146" s="85"/>
      <c r="AL146" s="83"/>
      <c r="AM146" s="84"/>
      <c r="AN146" s="85"/>
      <c r="AO146" s="60"/>
      <c r="AP146" s="61"/>
      <c r="AQ146" s="78">
        <f t="shared" si="4"/>
        <v>0</v>
      </c>
      <c r="AR146" s="37"/>
      <c r="AS146" s="78">
        <f t="shared" si="5"/>
        <v>0</v>
      </c>
      <c r="AT146" s="37"/>
      <c r="AU146" s="37"/>
      <c r="AV146" s="37"/>
      <c r="AW146" s="37"/>
      <c r="AX146" s="37"/>
    </row>
    <row r="147" spans="1:50" ht="20.100000000000001" customHeight="1" x14ac:dyDescent="0.25">
      <c r="A147" s="35">
        <v>142</v>
      </c>
      <c r="B147" s="58"/>
      <c r="C147" s="37"/>
      <c r="D147" s="97"/>
      <c r="E147" s="98"/>
      <c r="F147" s="101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3"/>
      <c r="T147" s="83"/>
      <c r="U147" s="85"/>
      <c r="V147" s="83"/>
      <c r="W147" s="85"/>
      <c r="X147" s="97"/>
      <c r="Y147" s="100"/>
      <c r="Z147" s="100"/>
      <c r="AA147" s="100"/>
      <c r="AB147" s="100"/>
      <c r="AC147" s="100"/>
      <c r="AD147" s="98"/>
      <c r="AE147" s="83"/>
      <c r="AF147" s="84"/>
      <c r="AG147" s="85"/>
      <c r="AH147" s="83"/>
      <c r="AI147" s="84"/>
      <c r="AJ147" s="84"/>
      <c r="AK147" s="85"/>
      <c r="AL147" s="83"/>
      <c r="AM147" s="84"/>
      <c r="AN147" s="85"/>
      <c r="AO147" s="60"/>
      <c r="AP147" s="61"/>
      <c r="AQ147" s="78">
        <f t="shared" si="4"/>
        <v>0</v>
      </c>
      <c r="AR147" s="37"/>
      <c r="AS147" s="78">
        <f t="shared" si="5"/>
        <v>0</v>
      </c>
      <c r="AT147" s="37"/>
      <c r="AU147" s="37"/>
      <c r="AV147" s="37"/>
      <c r="AW147" s="37"/>
      <c r="AX147" s="37"/>
    </row>
    <row r="148" spans="1:50" ht="20.100000000000001" customHeight="1" x14ac:dyDescent="0.25">
      <c r="A148" s="35">
        <v>143</v>
      </c>
      <c r="B148" s="58"/>
      <c r="C148" s="37"/>
      <c r="D148" s="97"/>
      <c r="E148" s="98"/>
      <c r="F148" s="101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3"/>
      <c r="T148" s="83"/>
      <c r="U148" s="85"/>
      <c r="V148" s="83"/>
      <c r="W148" s="85"/>
      <c r="X148" s="97"/>
      <c r="Y148" s="100"/>
      <c r="Z148" s="100"/>
      <c r="AA148" s="100"/>
      <c r="AB148" s="100"/>
      <c r="AC148" s="100"/>
      <c r="AD148" s="98"/>
      <c r="AE148" s="83"/>
      <c r="AF148" s="84"/>
      <c r="AG148" s="85"/>
      <c r="AH148" s="83"/>
      <c r="AI148" s="84"/>
      <c r="AJ148" s="84"/>
      <c r="AK148" s="85"/>
      <c r="AL148" s="83"/>
      <c r="AM148" s="84"/>
      <c r="AN148" s="85"/>
      <c r="AO148" s="60"/>
      <c r="AP148" s="61"/>
      <c r="AQ148" s="78">
        <f t="shared" si="4"/>
        <v>0</v>
      </c>
      <c r="AR148" s="37"/>
      <c r="AS148" s="78">
        <f t="shared" si="5"/>
        <v>0</v>
      </c>
      <c r="AT148" s="37"/>
      <c r="AU148" s="37"/>
      <c r="AV148" s="37"/>
      <c r="AW148" s="37"/>
      <c r="AX148" s="37"/>
    </row>
    <row r="149" spans="1:50" ht="20.100000000000001" customHeight="1" x14ac:dyDescent="0.25">
      <c r="A149" s="35">
        <v>144</v>
      </c>
      <c r="B149" s="58"/>
      <c r="C149" s="37"/>
      <c r="D149" s="97"/>
      <c r="E149" s="98"/>
      <c r="F149" s="101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3"/>
      <c r="T149" s="83"/>
      <c r="U149" s="85"/>
      <c r="V149" s="83"/>
      <c r="W149" s="85"/>
      <c r="X149" s="97"/>
      <c r="Y149" s="100"/>
      <c r="Z149" s="100"/>
      <c r="AA149" s="100"/>
      <c r="AB149" s="100"/>
      <c r="AC149" s="100"/>
      <c r="AD149" s="98"/>
      <c r="AE149" s="83"/>
      <c r="AF149" s="84"/>
      <c r="AG149" s="85"/>
      <c r="AH149" s="83"/>
      <c r="AI149" s="84"/>
      <c r="AJ149" s="84"/>
      <c r="AK149" s="85"/>
      <c r="AL149" s="83"/>
      <c r="AM149" s="84"/>
      <c r="AN149" s="85"/>
      <c r="AO149" s="60"/>
      <c r="AP149" s="61"/>
      <c r="AQ149" s="78">
        <f t="shared" si="4"/>
        <v>0</v>
      </c>
      <c r="AR149" s="37"/>
      <c r="AS149" s="78">
        <f t="shared" si="5"/>
        <v>0</v>
      </c>
      <c r="AT149" s="37"/>
      <c r="AU149" s="37"/>
      <c r="AV149" s="37"/>
      <c r="AW149" s="37"/>
      <c r="AX149" s="37"/>
    </row>
    <row r="150" spans="1:50" ht="20.100000000000001" customHeight="1" x14ac:dyDescent="0.25">
      <c r="A150" s="35">
        <v>145</v>
      </c>
      <c r="B150" s="58"/>
      <c r="C150" s="37"/>
      <c r="D150" s="97"/>
      <c r="E150" s="98"/>
      <c r="F150" s="101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3"/>
      <c r="T150" s="83"/>
      <c r="U150" s="85"/>
      <c r="V150" s="83"/>
      <c r="W150" s="85"/>
      <c r="X150" s="97"/>
      <c r="Y150" s="100"/>
      <c r="Z150" s="100"/>
      <c r="AA150" s="100"/>
      <c r="AB150" s="100"/>
      <c r="AC150" s="100"/>
      <c r="AD150" s="98"/>
      <c r="AE150" s="83"/>
      <c r="AF150" s="84"/>
      <c r="AG150" s="85"/>
      <c r="AH150" s="83"/>
      <c r="AI150" s="84"/>
      <c r="AJ150" s="84"/>
      <c r="AK150" s="85"/>
      <c r="AL150" s="83"/>
      <c r="AM150" s="84"/>
      <c r="AN150" s="85"/>
      <c r="AO150" s="60"/>
      <c r="AP150" s="61"/>
      <c r="AQ150" s="78">
        <f t="shared" si="4"/>
        <v>0</v>
      </c>
      <c r="AR150" s="37"/>
      <c r="AS150" s="78">
        <f t="shared" si="5"/>
        <v>0</v>
      </c>
      <c r="AT150" s="37"/>
      <c r="AU150" s="37"/>
      <c r="AV150" s="37"/>
      <c r="AW150" s="37"/>
      <c r="AX150" s="37"/>
    </row>
    <row r="151" spans="1:50" ht="20.100000000000001" customHeight="1" x14ac:dyDescent="0.25">
      <c r="A151" s="35">
        <v>146</v>
      </c>
      <c r="B151" s="58"/>
      <c r="C151" s="37"/>
      <c r="D151" s="97"/>
      <c r="E151" s="98"/>
      <c r="F151" s="101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3"/>
      <c r="T151" s="83"/>
      <c r="U151" s="85"/>
      <c r="V151" s="83"/>
      <c r="W151" s="85"/>
      <c r="X151" s="97"/>
      <c r="Y151" s="100"/>
      <c r="Z151" s="100"/>
      <c r="AA151" s="100"/>
      <c r="AB151" s="100"/>
      <c r="AC151" s="100"/>
      <c r="AD151" s="98"/>
      <c r="AE151" s="83"/>
      <c r="AF151" s="84"/>
      <c r="AG151" s="85"/>
      <c r="AH151" s="83"/>
      <c r="AI151" s="84"/>
      <c r="AJ151" s="84"/>
      <c r="AK151" s="85"/>
      <c r="AL151" s="83"/>
      <c r="AM151" s="84"/>
      <c r="AN151" s="85"/>
      <c r="AO151" s="60"/>
      <c r="AP151" s="61"/>
      <c r="AQ151" s="78">
        <f t="shared" si="4"/>
        <v>0</v>
      </c>
      <c r="AR151" s="37"/>
      <c r="AS151" s="78">
        <f t="shared" si="5"/>
        <v>0</v>
      </c>
      <c r="AT151" s="37"/>
      <c r="AU151" s="37"/>
      <c r="AV151" s="37"/>
      <c r="AW151" s="37"/>
      <c r="AX151" s="37"/>
    </row>
    <row r="152" spans="1:50" ht="20.100000000000001" customHeight="1" x14ac:dyDescent="0.25">
      <c r="A152" s="35">
        <v>147</v>
      </c>
      <c r="B152" s="58"/>
      <c r="C152" s="37"/>
      <c r="D152" s="97"/>
      <c r="E152" s="98"/>
      <c r="F152" s="101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3"/>
      <c r="T152" s="83"/>
      <c r="U152" s="85"/>
      <c r="V152" s="83"/>
      <c r="W152" s="85"/>
      <c r="X152" s="97"/>
      <c r="Y152" s="100"/>
      <c r="Z152" s="100"/>
      <c r="AA152" s="100"/>
      <c r="AB152" s="100"/>
      <c r="AC152" s="100"/>
      <c r="AD152" s="98"/>
      <c r="AE152" s="83"/>
      <c r="AF152" s="84"/>
      <c r="AG152" s="85"/>
      <c r="AH152" s="83"/>
      <c r="AI152" s="84"/>
      <c r="AJ152" s="84"/>
      <c r="AK152" s="85"/>
      <c r="AL152" s="83"/>
      <c r="AM152" s="84"/>
      <c r="AN152" s="85"/>
      <c r="AO152" s="60"/>
      <c r="AP152" s="61"/>
      <c r="AQ152" s="78">
        <f t="shared" si="4"/>
        <v>0</v>
      </c>
      <c r="AR152" s="37"/>
      <c r="AS152" s="78">
        <f t="shared" si="5"/>
        <v>0</v>
      </c>
      <c r="AT152" s="37"/>
      <c r="AU152" s="37"/>
      <c r="AV152" s="37"/>
      <c r="AW152" s="37"/>
      <c r="AX152" s="37"/>
    </row>
    <row r="153" spans="1:50" ht="20.100000000000001" customHeight="1" x14ac:dyDescent="0.25">
      <c r="A153" s="35">
        <v>148</v>
      </c>
      <c r="B153" s="58"/>
      <c r="C153" s="37"/>
      <c r="D153" s="97"/>
      <c r="E153" s="98"/>
      <c r="F153" s="101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3"/>
      <c r="T153" s="83"/>
      <c r="U153" s="85"/>
      <c r="V153" s="83"/>
      <c r="W153" s="85"/>
      <c r="X153" s="97"/>
      <c r="Y153" s="100"/>
      <c r="Z153" s="100"/>
      <c r="AA153" s="100"/>
      <c r="AB153" s="100"/>
      <c r="AC153" s="100"/>
      <c r="AD153" s="98"/>
      <c r="AE153" s="83"/>
      <c r="AF153" s="84"/>
      <c r="AG153" s="85"/>
      <c r="AH153" s="83"/>
      <c r="AI153" s="84"/>
      <c r="AJ153" s="84"/>
      <c r="AK153" s="85"/>
      <c r="AL153" s="83"/>
      <c r="AM153" s="84"/>
      <c r="AN153" s="85"/>
      <c r="AO153" s="60"/>
      <c r="AP153" s="61"/>
      <c r="AQ153" s="78">
        <f t="shared" si="4"/>
        <v>0</v>
      </c>
      <c r="AR153" s="37"/>
      <c r="AS153" s="78">
        <f t="shared" si="5"/>
        <v>0</v>
      </c>
      <c r="AT153" s="37"/>
      <c r="AU153" s="37"/>
      <c r="AV153" s="37"/>
      <c r="AW153" s="37"/>
      <c r="AX153" s="37"/>
    </row>
    <row r="154" spans="1:50" ht="20.100000000000001" customHeight="1" x14ac:dyDescent="0.25">
      <c r="A154" s="35">
        <v>149</v>
      </c>
      <c r="B154" s="58"/>
      <c r="C154" s="37"/>
      <c r="D154" s="97"/>
      <c r="E154" s="98"/>
      <c r="F154" s="101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3"/>
      <c r="T154" s="83"/>
      <c r="U154" s="85"/>
      <c r="V154" s="83"/>
      <c r="W154" s="85"/>
      <c r="X154" s="97"/>
      <c r="Y154" s="100"/>
      <c r="Z154" s="100"/>
      <c r="AA154" s="100"/>
      <c r="AB154" s="100"/>
      <c r="AC154" s="100"/>
      <c r="AD154" s="98"/>
      <c r="AE154" s="83"/>
      <c r="AF154" s="84"/>
      <c r="AG154" s="85"/>
      <c r="AH154" s="83"/>
      <c r="AI154" s="84"/>
      <c r="AJ154" s="84"/>
      <c r="AK154" s="85"/>
      <c r="AL154" s="83"/>
      <c r="AM154" s="84"/>
      <c r="AN154" s="85"/>
      <c r="AO154" s="60"/>
      <c r="AP154" s="61"/>
      <c r="AQ154" s="78">
        <f t="shared" si="4"/>
        <v>0</v>
      </c>
      <c r="AR154" s="37"/>
      <c r="AS154" s="78">
        <f t="shared" si="5"/>
        <v>0</v>
      </c>
      <c r="AT154" s="37"/>
      <c r="AU154" s="37"/>
      <c r="AV154" s="37"/>
      <c r="AW154" s="37"/>
      <c r="AX154" s="37"/>
    </row>
    <row r="155" spans="1:50" ht="20.100000000000001" customHeight="1" x14ac:dyDescent="0.25">
      <c r="A155" s="35">
        <v>150</v>
      </c>
      <c r="B155" s="58"/>
      <c r="C155" s="37"/>
      <c r="D155" s="97"/>
      <c r="E155" s="98"/>
      <c r="F155" s="101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3"/>
      <c r="T155" s="83"/>
      <c r="U155" s="85"/>
      <c r="V155" s="83"/>
      <c r="W155" s="85"/>
      <c r="X155" s="97"/>
      <c r="Y155" s="100"/>
      <c r="Z155" s="100"/>
      <c r="AA155" s="100"/>
      <c r="AB155" s="100"/>
      <c r="AC155" s="100"/>
      <c r="AD155" s="98"/>
      <c r="AE155" s="83"/>
      <c r="AF155" s="84"/>
      <c r="AG155" s="85"/>
      <c r="AH155" s="83"/>
      <c r="AI155" s="84"/>
      <c r="AJ155" s="84"/>
      <c r="AK155" s="85"/>
      <c r="AL155" s="83"/>
      <c r="AM155" s="84"/>
      <c r="AN155" s="85"/>
      <c r="AO155" s="60"/>
      <c r="AP155" s="61"/>
      <c r="AQ155" s="78">
        <f t="shared" si="4"/>
        <v>0</v>
      </c>
      <c r="AR155" s="37"/>
      <c r="AS155" s="78">
        <f t="shared" si="5"/>
        <v>0</v>
      </c>
      <c r="AT155" s="37"/>
      <c r="AU155" s="37"/>
      <c r="AV155" s="37"/>
      <c r="AW155" s="37"/>
      <c r="AX155" s="37"/>
    </row>
    <row r="156" spans="1:50" ht="20.100000000000001" customHeight="1" x14ac:dyDescent="0.25">
      <c r="A156" s="35">
        <v>151</v>
      </c>
      <c r="B156" s="58"/>
      <c r="C156" s="37"/>
      <c r="D156" s="97"/>
      <c r="E156" s="98"/>
      <c r="F156" s="101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3"/>
      <c r="T156" s="83"/>
      <c r="U156" s="85"/>
      <c r="V156" s="83"/>
      <c r="W156" s="85"/>
      <c r="X156" s="97"/>
      <c r="Y156" s="100"/>
      <c r="Z156" s="100"/>
      <c r="AA156" s="100"/>
      <c r="AB156" s="100"/>
      <c r="AC156" s="100"/>
      <c r="AD156" s="98"/>
      <c r="AE156" s="83"/>
      <c r="AF156" s="84"/>
      <c r="AG156" s="85"/>
      <c r="AH156" s="83"/>
      <c r="AI156" s="84"/>
      <c r="AJ156" s="84"/>
      <c r="AK156" s="85"/>
      <c r="AL156" s="83"/>
      <c r="AM156" s="84"/>
      <c r="AN156" s="85"/>
      <c r="AO156" s="60"/>
      <c r="AP156" s="61"/>
      <c r="AQ156" s="78">
        <f t="shared" si="4"/>
        <v>0</v>
      </c>
      <c r="AR156" s="37"/>
      <c r="AS156" s="78">
        <f t="shared" si="5"/>
        <v>0</v>
      </c>
      <c r="AT156" s="37"/>
      <c r="AU156" s="37"/>
      <c r="AV156" s="37"/>
      <c r="AW156" s="37"/>
      <c r="AX156" s="37"/>
    </row>
    <row r="157" spans="1:50" ht="20.100000000000001" customHeight="1" x14ac:dyDescent="0.25">
      <c r="A157" s="35">
        <v>152</v>
      </c>
      <c r="B157" s="58"/>
      <c r="C157" s="37"/>
      <c r="D157" s="97"/>
      <c r="E157" s="98"/>
      <c r="F157" s="101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3"/>
      <c r="T157" s="83"/>
      <c r="U157" s="85"/>
      <c r="V157" s="83"/>
      <c r="W157" s="85"/>
      <c r="X157" s="97"/>
      <c r="Y157" s="100"/>
      <c r="Z157" s="100"/>
      <c r="AA157" s="100"/>
      <c r="AB157" s="100"/>
      <c r="AC157" s="100"/>
      <c r="AD157" s="98"/>
      <c r="AE157" s="83"/>
      <c r="AF157" s="84"/>
      <c r="AG157" s="85"/>
      <c r="AH157" s="83"/>
      <c r="AI157" s="84"/>
      <c r="AJ157" s="84"/>
      <c r="AK157" s="85"/>
      <c r="AL157" s="83"/>
      <c r="AM157" s="84"/>
      <c r="AN157" s="85"/>
      <c r="AO157" s="60"/>
      <c r="AP157" s="61"/>
      <c r="AQ157" s="78">
        <f t="shared" si="4"/>
        <v>0</v>
      </c>
      <c r="AR157" s="37"/>
      <c r="AS157" s="78">
        <f t="shared" si="5"/>
        <v>0</v>
      </c>
      <c r="AT157" s="37"/>
      <c r="AU157" s="37"/>
      <c r="AV157" s="37"/>
      <c r="AW157" s="37"/>
      <c r="AX157" s="37"/>
    </row>
    <row r="158" spans="1:50" ht="20.100000000000001" customHeight="1" x14ac:dyDescent="0.25">
      <c r="A158" s="35">
        <v>153</v>
      </c>
      <c r="B158" s="58"/>
      <c r="C158" s="37"/>
      <c r="D158" s="97"/>
      <c r="E158" s="98"/>
      <c r="F158" s="101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3"/>
      <c r="T158" s="83"/>
      <c r="U158" s="85"/>
      <c r="V158" s="83"/>
      <c r="W158" s="85"/>
      <c r="X158" s="97"/>
      <c r="Y158" s="100"/>
      <c r="Z158" s="100"/>
      <c r="AA158" s="100"/>
      <c r="AB158" s="100"/>
      <c r="AC158" s="100"/>
      <c r="AD158" s="98"/>
      <c r="AE158" s="83"/>
      <c r="AF158" s="84"/>
      <c r="AG158" s="85"/>
      <c r="AH158" s="83"/>
      <c r="AI158" s="84"/>
      <c r="AJ158" s="84"/>
      <c r="AK158" s="85"/>
      <c r="AL158" s="83"/>
      <c r="AM158" s="84"/>
      <c r="AN158" s="85"/>
      <c r="AO158" s="60"/>
      <c r="AP158" s="61"/>
      <c r="AQ158" s="78">
        <f t="shared" si="4"/>
        <v>0</v>
      </c>
      <c r="AR158" s="37"/>
      <c r="AS158" s="78">
        <f t="shared" si="5"/>
        <v>0</v>
      </c>
      <c r="AT158" s="37"/>
      <c r="AU158" s="37"/>
      <c r="AV158" s="37"/>
      <c r="AW158" s="37"/>
      <c r="AX158" s="37"/>
    </row>
    <row r="159" spans="1:50" ht="20.100000000000001" customHeight="1" x14ac:dyDescent="0.25">
      <c r="A159" s="35">
        <v>154</v>
      </c>
      <c r="B159" s="58"/>
      <c r="C159" s="37"/>
      <c r="D159" s="97"/>
      <c r="E159" s="98"/>
      <c r="F159" s="101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3"/>
      <c r="T159" s="83"/>
      <c r="U159" s="85"/>
      <c r="V159" s="83"/>
      <c r="W159" s="85"/>
      <c r="X159" s="97"/>
      <c r="Y159" s="100"/>
      <c r="Z159" s="100"/>
      <c r="AA159" s="100"/>
      <c r="AB159" s="100"/>
      <c r="AC159" s="100"/>
      <c r="AD159" s="98"/>
      <c r="AE159" s="83"/>
      <c r="AF159" s="84"/>
      <c r="AG159" s="85"/>
      <c r="AH159" s="83"/>
      <c r="AI159" s="84"/>
      <c r="AJ159" s="84"/>
      <c r="AK159" s="85"/>
      <c r="AL159" s="83"/>
      <c r="AM159" s="84"/>
      <c r="AN159" s="85"/>
      <c r="AO159" s="60"/>
      <c r="AP159" s="61"/>
      <c r="AQ159" s="78">
        <f t="shared" si="4"/>
        <v>0</v>
      </c>
      <c r="AR159" s="37"/>
      <c r="AS159" s="78">
        <f t="shared" si="5"/>
        <v>0</v>
      </c>
      <c r="AT159" s="37"/>
      <c r="AU159" s="37"/>
      <c r="AV159" s="37"/>
      <c r="AW159" s="37"/>
      <c r="AX159" s="37"/>
    </row>
    <row r="160" spans="1:50" ht="20.100000000000001" customHeight="1" x14ac:dyDescent="0.25">
      <c r="A160" s="35">
        <v>155</v>
      </c>
      <c r="B160" s="58"/>
      <c r="C160" s="37"/>
      <c r="D160" s="97"/>
      <c r="E160" s="98"/>
      <c r="F160" s="101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3"/>
      <c r="T160" s="83"/>
      <c r="U160" s="85"/>
      <c r="V160" s="83"/>
      <c r="W160" s="85"/>
      <c r="X160" s="97"/>
      <c r="Y160" s="100"/>
      <c r="Z160" s="100"/>
      <c r="AA160" s="100"/>
      <c r="AB160" s="100"/>
      <c r="AC160" s="100"/>
      <c r="AD160" s="98"/>
      <c r="AE160" s="83"/>
      <c r="AF160" s="84"/>
      <c r="AG160" s="85"/>
      <c r="AH160" s="83"/>
      <c r="AI160" s="84"/>
      <c r="AJ160" s="84"/>
      <c r="AK160" s="85"/>
      <c r="AL160" s="83"/>
      <c r="AM160" s="84"/>
      <c r="AN160" s="85"/>
      <c r="AO160" s="60"/>
      <c r="AP160" s="61"/>
      <c r="AQ160" s="78">
        <f t="shared" si="4"/>
        <v>0</v>
      </c>
      <c r="AR160" s="37"/>
      <c r="AS160" s="78">
        <f t="shared" si="5"/>
        <v>0</v>
      </c>
      <c r="AT160" s="37"/>
      <c r="AU160" s="37"/>
      <c r="AV160" s="37"/>
      <c r="AW160" s="37"/>
      <c r="AX160" s="37"/>
    </row>
    <row r="161" spans="1:50" ht="20.100000000000001" customHeight="1" x14ac:dyDescent="0.25">
      <c r="A161" s="35">
        <v>156</v>
      </c>
      <c r="B161" s="58"/>
      <c r="C161" s="37"/>
      <c r="D161" s="97"/>
      <c r="E161" s="98"/>
      <c r="F161" s="101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3"/>
      <c r="T161" s="83"/>
      <c r="U161" s="85"/>
      <c r="V161" s="83"/>
      <c r="W161" s="85"/>
      <c r="X161" s="97"/>
      <c r="Y161" s="100"/>
      <c r="Z161" s="100"/>
      <c r="AA161" s="100"/>
      <c r="AB161" s="100"/>
      <c r="AC161" s="100"/>
      <c r="AD161" s="98"/>
      <c r="AE161" s="83"/>
      <c r="AF161" s="84"/>
      <c r="AG161" s="85"/>
      <c r="AH161" s="83"/>
      <c r="AI161" s="84"/>
      <c r="AJ161" s="84"/>
      <c r="AK161" s="85"/>
      <c r="AL161" s="83"/>
      <c r="AM161" s="84"/>
      <c r="AN161" s="85"/>
      <c r="AO161" s="60"/>
      <c r="AP161" s="61"/>
      <c r="AQ161" s="78">
        <f t="shared" si="4"/>
        <v>0</v>
      </c>
      <c r="AR161" s="37"/>
      <c r="AS161" s="78">
        <f t="shared" si="5"/>
        <v>0</v>
      </c>
      <c r="AT161" s="37"/>
      <c r="AU161" s="37"/>
      <c r="AV161" s="37"/>
      <c r="AW161" s="37"/>
      <c r="AX161" s="37"/>
    </row>
    <row r="162" spans="1:50" ht="20.100000000000001" customHeight="1" x14ac:dyDescent="0.25">
      <c r="A162" s="35">
        <v>157</v>
      </c>
      <c r="B162" s="58"/>
      <c r="C162" s="37"/>
      <c r="D162" s="97"/>
      <c r="E162" s="98"/>
      <c r="F162" s="101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3"/>
      <c r="T162" s="83"/>
      <c r="U162" s="85"/>
      <c r="V162" s="83"/>
      <c r="W162" s="85"/>
      <c r="X162" s="97"/>
      <c r="Y162" s="100"/>
      <c r="Z162" s="100"/>
      <c r="AA162" s="100"/>
      <c r="AB162" s="100"/>
      <c r="AC162" s="100"/>
      <c r="AD162" s="98"/>
      <c r="AE162" s="83"/>
      <c r="AF162" s="84"/>
      <c r="AG162" s="85"/>
      <c r="AH162" s="83"/>
      <c r="AI162" s="84"/>
      <c r="AJ162" s="84"/>
      <c r="AK162" s="85"/>
      <c r="AL162" s="83"/>
      <c r="AM162" s="84"/>
      <c r="AN162" s="85"/>
      <c r="AO162" s="60"/>
      <c r="AP162" s="61"/>
      <c r="AQ162" s="78">
        <f t="shared" si="4"/>
        <v>0</v>
      </c>
      <c r="AR162" s="37"/>
      <c r="AS162" s="78">
        <f t="shared" si="5"/>
        <v>0</v>
      </c>
      <c r="AT162" s="37"/>
      <c r="AU162" s="37"/>
      <c r="AV162" s="37"/>
      <c r="AW162" s="37"/>
      <c r="AX162" s="37"/>
    </row>
    <row r="163" spans="1:50" ht="20.100000000000001" customHeight="1" x14ac:dyDescent="0.25">
      <c r="A163" s="35">
        <v>158</v>
      </c>
      <c r="B163" s="58"/>
      <c r="C163" s="37"/>
      <c r="D163" s="97"/>
      <c r="E163" s="98"/>
      <c r="F163" s="101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3"/>
      <c r="T163" s="83"/>
      <c r="U163" s="85"/>
      <c r="V163" s="83"/>
      <c r="W163" s="85"/>
      <c r="X163" s="97"/>
      <c r="Y163" s="100"/>
      <c r="Z163" s="100"/>
      <c r="AA163" s="100"/>
      <c r="AB163" s="100"/>
      <c r="AC163" s="100"/>
      <c r="AD163" s="98"/>
      <c r="AE163" s="83"/>
      <c r="AF163" s="84"/>
      <c r="AG163" s="85"/>
      <c r="AH163" s="83"/>
      <c r="AI163" s="84"/>
      <c r="AJ163" s="84"/>
      <c r="AK163" s="85"/>
      <c r="AL163" s="83"/>
      <c r="AM163" s="84"/>
      <c r="AN163" s="85"/>
      <c r="AO163" s="60"/>
      <c r="AP163" s="61"/>
      <c r="AQ163" s="78">
        <f t="shared" si="4"/>
        <v>0</v>
      </c>
      <c r="AR163" s="37"/>
      <c r="AS163" s="78">
        <f t="shared" si="5"/>
        <v>0</v>
      </c>
      <c r="AT163" s="37"/>
      <c r="AU163" s="37"/>
      <c r="AV163" s="37"/>
      <c r="AW163" s="37"/>
      <c r="AX163" s="37"/>
    </row>
    <row r="164" spans="1:50" ht="20.100000000000001" customHeight="1" x14ac:dyDescent="0.25">
      <c r="A164" s="35">
        <v>159</v>
      </c>
      <c r="B164" s="58"/>
      <c r="C164" s="37"/>
      <c r="D164" s="97"/>
      <c r="E164" s="98"/>
      <c r="F164" s="101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3"/>
      <c r="T164" s="83"/>
      <c r="U164" s="85"/>
      <c r="V164" s="83"/>
      <c r="W164" s="85"/>
      <c r="X164" s="97"/>
      <c r="Y164" s="100"/>
      <c r="Z164" s="100"/>
      <c r="AA164" s="100"/>
      <c r="AB164" s="100"/>
      <c r="AC164" s="100"/>
      <c r="AD164" s="98"/>
      <c r="AE164" s="83"/>
      <c r="AF164" s="84"/>
      <c r="AG164" s="85"/>
      <c r="AH164" s="83"/>
      <c r="AI164" s="84"/>
      <c r="AJ164" s="84"/>
      <c r="AK164" s="85"/>
      <c r="AL164" s="83"/>
      <c r="AM164" s="84"/>
      <c r="AN164" s="85"/>
      <c r="AO164" s="60"/>
      <c r="AP164" s="61"/>
      <c r="AQ164" s="78">
        <f t="shared" si="4"/>
        <v>0</v>
      </c>
      <c r="AR164" s="37"/>
      <c r="AS164" s="78">
        <f t="shared" si="5"/>
        <v>0</v>
      </c>
      <c r="AT164" s="37"/>
      <c r="AU164" s="37"/>
      <c r="AV164" s="37"/>
      <c r="AW164" s="37"/>
      <c r="AX164" s="37"/>
    </row>
    <row r="165" spans="1:50" ht="20.100000000000001" customHeight="1" x14ac:dyDescent="0.25">
      <c r="A165" s="35">
        <v>160</v>
      </c>
      <c r="B165" s="58"/>
      <c r="C165" s="37"/>
      <c r="D165" s="97"/>
      <c r="E165" s="98"/>
      <c r="F165" s="101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3"/>
      <c r="T165" s="83"/>
      <c r="U165" s="85"/>
      <c r="V165" s="83"/>
      <c r="W165" s="85"/>
      <c r="X165" s="97"/>
      <c r="Y165" s="100"/>
      <c r="Z165" s="100"/>
      <c r="AA165" s="100"/>
      <c r="AB165" s="100"/>
      <c r="AC165" s="100"/>
      <c r="AD165" s="98"/>
      <c r="AE165" s="83"/>
      <c r="AF165" s="84"/>
      <c r="AG165" s="85"/>
      <c r="AH165" s="83"/>
      <c r="AI165" s="84"/>
      <c r="AJ165" s="84"/>
      <c r="AK165" s="85"/>
      <c r="AL165" s="83"/>
      <c r="AM165" s="84"/>
      <c r="AN165" s="85"/>
      <c r="AO165" s="60"/>
      <c r="AP165" s="61"/>
      <c r="AQ165" s="78">
        <f t="shared" si="4"/>
        <v>0</v>
      </c>
      <c r="AR165" s="37"/>
      <c r="AS165" s="78">
        <f t="shared" si="5"/>
        <v>0</v>
      </c>
      <c r="AT165" s="37"/>
      <c r="AU165" s="37"/>
      <c r="AV165" s="37"/>
      <c r="AW165" s="37"/>
      <c r="AX165" s="37"/>
    </row>
    <row r="166" spans="1:50" ht="20.100000000000001" customHeight="1" x14ac:dyDescent="0.25">
      <c r="A166" s="37"/>
      <c r="B166" s="58"/>
      <c r="C166" s="37"/>
      <c r="D166" s="97"/>
      <c r="E166" s="98"/>
      <c r="F166" s="101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3"/>
      <c r="T166" s="83"/>
      <c r="U166" s="85"/>
      <c r="V166" s="83"/>
      <c r="W166" s="85"/>
      <c r="X166" s="97"/>
      <c r="Y166" s="100"/>
      <c r="Z166" s="100"/>
      <c r="AA166" s="100"/>
      <c r="AB166" s="100"/>
      <c r="AC166" s="100"/>
      <c r="AD166" s="98"/>
      <c r="AE166" s="83"/>
      <c r="AF166" s="84"/>
      <c r="AG166" s="85"/>
      <c r="AH166" s="83"/>
      <c r="AI166" s="84"/>
      <c r="AJ166" s="84"/>
      <c r="AK166" s="85"/>
      <c r="AL166" s="83"/>
      <c r="AM166" s="84"/>
      <c r="AN166" s="85"/>
      <c r="AO166" s="60"/>
      <c r="AP166" s="61"/>
      <c r="AQ166" s="78">
        <f t="shared" si="4"/>
        <v>0</v>
      </c>
      <c r="AR166" s="37"/>
      <c r="AS166" s="78">
        <f t="shared" si="5"/>
        <v>0</v>
      </c>
      <c r="AT166" s="37"/>
      <c r="AU166" s="37"/>
      <c r="AW166" s="37"/>
      <c r="AX166" s="37"/>
    </row>
    <row r="167" spans="1:50" ht="20.100000000000001" customHeight="1" x14ac:dyDescent="0.25">
      <c r="A167" s="37"/>
      <c r="B167" s="58"/>
      <c r="C167" s="37"/>
      <c r="D167" s="97"/>
      <c r="E167" s="98"/>
      <c r="F167" s="101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3"/>
      <c r="T167" s="83"/>
      <c r="U167" s="85"/>
      <c r="V167" s="83"/>
      <c r="W167" s="85"/>
      <c r="X167" s="97"/>
      <c r="Y167" s="100"/>
      <c r="Z167" s="100"/>
      <c r="AA167" s="100"/>
      <c r="AB167" s="100"/>
      <c r="AC167" s="100"/>
      <c r="AD167" s="98"/>
      <c r="AE167" s="83"/>
      <c r="AF167" s="84"/>
      <c r="AG167" s="85"/>
      <c r="AH167" s="83"/>
      <c r="AI167" s="84"/>
      <c r="AJ167" s="84"/>
      <c r="AK167" s="85"/>
      <c r="AL167" s="83"/>
      <c r="AM167" s="84"/>
      <c r="AN167" s="85"/>
      <c r="AO167" s="60"/>
      <c r="AP167" s="61"/>
      <c r="AQ167" s="78">
        <f t="shared" si="4"/>
        <v>0</v>
      </c>
      <c r="AR167" s="37"/>
      <c r="AS167" s="78">
        <f t="shared" si="5"/>
        <v>0</v>
      </c>
      <c r="AT167" s="37"/>
      <c r="AU167" s="37"/>
      <c r="AV167" s="37"/>
      <c r="AW167" s="37"/>
      <c r="AX167" s="37"/>
    </row>
    <row r="168" spans="1:50" ht="20.100000000000001" customHeight="1" x14ac:dyDescent="0.25">
      <c r="A168" s="37"/>
      <c r="B168" s="58"/>
      <c r="C168" s="37"/>
      <c r="D168" s="97"/>
      <c r="E168" s="98"/>
      <c r="F168" s="101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3"/>
      <c r="T168" s="83"/>
      <c r="U168" s="85"/>
      <c r="V168" s="83"/>
      <c r="W168" s="85"/>
      <c r="X168" s="97"/>
      <c r="Y168" s="100"/>
      <c r="Z168" s="100"/>
      <c r="AA168" s="100"/>
      <c r="AB168" s="100"/>
      <c r="AC168" s="100"/>
      <c r="AD168" s="98"/>
      <c r="AE168" s="83"/>
      <c r="AF168" s="84"/>
      <c r="AG168" s="85"/>
      <c r="AH168" s="83"/>
      <c r="AI168" s="84"/>
      <c r="AJ168" s="84"/>
      <c r="AK168" s="85"/>
      <c r="AL168" s="83"/>
      <c r="AM168" s="84"/>
      <c r="AN168" s="85"/>
      <c r="AO168" s="60"/>
      <c r="AP168" s="61"/>
      <c r="AQ168" s="78">
        <f t="shared" si="4"/>
        <v>0</v>
      </c>
      <c r="AR168" s="37"/>
      <c r="AS168" s="78">
        <f t="shared" si="5"/>
        <v>0</v>
      </c>
      <c r="AT168" s="37"/>
      <c r="AU168" s="37"/>
      <c r="AV168" s="37"/>
      <c r="AW168" s="37"/>
      <c r="AX168" s="37"/>
    </row>
    <row r="169" spans="1:50" ht="20.100000000000001" customHeight="1" x14ac:dyDescent="0.25">
      <c r="A169" s="37"/>
      <c r="B169" s="58"/>
      <c r="C169" s="37"/>
      <c r="D169" s="97"/>
      <c r="E169" s="98"/>
      <c r="F169" s="101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3"/>
      <c r="T169" s="83"/>
      <c r="U169" s="85"/>
      <c r="V169" s="83"/>
      <c r="W169" s="85"/>
      <c r="X169" s="97"/>
      <c r="Y169" s="100"/>
      <c r="Z169" s="100"/>
      <c r="AA169" s="100"/>
      <c r="AB169" s="100"/>
      <c r="AC169" s="100"/>
      <c r="AD169" s="98"/>
      <c r="AE169" s="83"/>
      <c r="AF169" s="84"/>
      <c r="AG169" s="85"/>
      <c r="AH169" s="83"/>
      <c r="AI169" s="84"/>
      <c r="AJ169" s="84"/>
      <c r="AK169" s="85"/>
      <c r="AL169" s="83"/>
      <c r="AM169" s="84"/>
      <c r="AN169" s="85"/>
      <c r="AO169" s="60"/>
      <c r="AP169" s="61"/>
      <c r="AQ169" s="78">
        <f t="shared" si="4"/>
        <v>0</v>
      </c>
      <c r="AR169" s="37"/>
      <c r="AS169" s="78">
        <f t="shared" si="5"/>
        <v>0</v>
      </c>
      <c r="AT169" s="37"/>
      <c r="AU169" s="37"/>
      <c r="AV169" s="37"/>
      <c r="AW169" s="37"/>
      <c r="AX169" s="37"/>
    </row>
    <row r="170" spans="1:50" ht="20.100000000000001" customHeight="1" x14ac:dyDescent="0.25">
      <c r="A170" s="37"/>
      <c r="B170" s="58"/>
      <c r="C170" s="37"/>
      <c r="D170" s="97"/>
      <c r="E170" s="98"/>
      <c r="F170" s="101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3"/>
      <c r="T170" s="83"/>
      <c r="U170" s="85"/>
      <c r="V170" s="83"/>
      <c r="W170" s="85"/>
      <c r="X170" s="97"/>
      <c r="Y170" s="100"/>
      <c r="Z170" s="100"/>
      <c r="AA170" s="100"/>
      <c r="AB170" s="100"/>
      <c r="AC170" s="100"/>
      <c r="AD170" s="98"/>
      <c r="AE170" s="83"/>
      <c r="AF170" s="84"/>
      <c r="AG170" s="85"/>
      <c r="AH170" s="83"/>
      <c r="AI170" s="84"/>
      <c r="AJ170" s="84"/>
      <c r="AK170" s="85"/>
      <c r="AL170" s="83"/>
      <c r="AM170" s="84"/>
      <c r="AN170" s="85"/>
      <c r="AO170" s="60"/>
      <c r="AP170" s="61"/>
      <c r="AQ170" s="78">
        <f t="shared" si="4"/>
        <v>0</v>
      </c>
      <c r="AR170" s="37"/>
      <c r="AS170" s="78">
        <f t="shared" si="5"/>
        <v>0</v>
      </c>
      <c r="AT170" s="37"/>
      <c r="AU170" s="37"/>
      <c r="AV170" s="37"/>
      <c r="AW170" s="37"/>
      <c r="AX170" s="37"/>
    </row>
    <row r="171" spans="1:50" ht="20.100000000000001" customHeight="1" x14ac:dyDescent="0.25">
      <c r="A171" s="37"/>
      <c r="B171" s="58"/>
      <c r="C171" s="37"/>
      <c r="D171" s="97"/>
      <c r="E171" s="98"/>
      <c r="F171" s="101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3"/>
      <c r="T171" s="83"/>
      <c r="U171" s="85"/>
      <c r="V171" s="83"/>
      <c r="W171" s="85"/>
      <c r="X171" s="97"/>
      <c r="Y171" s="100"/>
      <c r="Z171" s="100"/>
      <c r="AA171" s="100"/>
      <c r="AB171" s="100"/>
      <c r="AC171" s="100"/>
      <c r="AD171" s="98"/>
      <c r="AE171" s="83"/>
      <c r="AF171" s="84"/>
      <c r="AG171" s="85"/>
      <c r="AH171" s="83"/>
      <c r="AI171" s="84"/>
      <c r="AJ171" s="84"/>
      <c r="AK171" s="85"/>
      <c r="AL171" s="83"/>
      <c r="AM171" s="84"/>
      <c r="AN171" s="85"/>
      <c r="AO171" s="60"/>
      <c r="AP171" s="61"/>
      <c r="AQ171" s="78">
        <f t="shared" si="4"/>
        <v>0</v>
      </c>
      <c r="AR171" s="37"/>
      <c r="AS171" s="78">
        <f t="shared" si="5"/>
        <v>0</v>
      </c>
      <c r="AT171" s="37"/>
      <c r="AU171" s="37"/>
      <c r="AV171" s="37"/>
      <c r="AW171" s="37"/>
      <c r="AX171" s="37"/>
    </row>
    <row r="172" spans="1:50" ht="20.100000000000001" customHeight="1" x14ac:dyDescent="0.25">
      <c r="A172" s="37"/>
      <c r="B172" s="58"/>
      <c r="C172" s="37"/>
      <c r="D172" s="97"/>
      <c r="E172" s="98"/>
      <c r="F172" s="101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3"/>
      <c r="T172" s="83"/>
      <c r="U172" s="85"/>
      <c r="V172" s="83"/>
      <c r="W172" s="85"/>
      <c r="X172" s="97"/>
      <c r="Y172" s="100"/>
      <c r="Z172" s="100"/>
      <c r="AA172" s="100"/>
      <c r="AB172" s="100"/>
      <c r="AC172" s="100"/>
      <c r="AD172" s="98"/>
      <c r="AE172" s="83"/>
      <c r="AF172" s="84"/>
      <c r="AG172" s="85"/>
      <c r="AH172" s="83"/>
      <c r="AI172" s="84"/>
      <c r="AJ172" s="84"/>
      <c r="AK172" s="85"/>
      <c r="AL172" s="83"/>
      <c r="AM172" s="84"/>
      <c r="AN172" s="85"/>
      <c r="AO172" s="60"/>
      <c r="AP172" s="61"/>
      <c r="AQ172" s="78">
        <f t="shared" si="4"/>
        <v>0</v>
      </c>
      <c r="AR172" s="37"/>
      <c r="AS172" s="78">
        <f t="shared" si="5"/>
        <v>0</v>
      </c>
      <c r="AT172" s="37"/>
      <c r="AU172" s="37"/>
      <c r="AV172" s="37"/>
      <c r="AW172" s="37"/>
      <c r="AX172" s="37"/>
    </row>
    <row r="173" spans="1:50" ht="20.100000000000001" customHeight="1" x14ac:dyDescent="0.25">
      <c r="A173" s="37"/>
      <c r="B173" s="58"/>
      <c r="C173" s="37"/>
      <c r="D173" s="97"/>
      <c r="E173" s="98"/>
      <c r="F173" s="101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3"/>
      <c r="T173" s="83"/>
      <c r="U173" s="85"/>
      <c r="V173" s="83"/>
      <c r="W173" s="85"/>
      <c r="X173" s="97"/>
      <c r="Y173" s="100"/>
      <c r="Z173" s="100"/>
      <c r="AA173" s="100"/>
      <c r="AB173" s="100"/>
      <c r="AC173" s="100"/>
      <c r="AD173" s="98"/>
      <c r="AE173" s="83"/>
      <c r="AF173" s="84"/>
      <c r="AG173" s="85"/>
      <c r="AH173" s="83"/>
      <c r="AI173" s="84"/>
      <c r="AJ173" s="84"/>
      <c r="AK173" s="85"/>
      <c r="AL173" s="83"/>
      <c r="AM173" s="84"/>
      <c r="AN173" s="85"/>
      <c r="AO173" s="60"/>
      <c r="AP173" s="61"/>
      <c r="AQ173" s="78">
        <f t="shared" si="4"/>
        <v>0</v>
      </c>
      <c r="AR173" s="37"/>
      <c r="AS173" s="78">
        <f t="shared" si="5"/>
        <v>0</v>
      </c>
      <c r="AT173" s="37"/>
      <c r="AU173" s="37"/>
      <c r="AV173" s="37"/>
      <c r="AW173" s="37"/>
      <c r="AX173" s="37"/>
    </row>
    <row r="174" spans="1:50" ht="20.100000000000001" customHeight="1" x14ac:dyDescent="0.25">
      <c r="A174" s="37"/>
      <c r="B174" s="58"/>
      <c r="C174" s="37"/>
      <c r="D174" s="97"/>
      <c r="E174" s="98"/>
      <c r="F174" s="101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3"/>
      <c r="T174" s="83"/>
      <c r="U174" s="85"/>
      <c r="V174" s="83"/>
      <c r="W174" s="85"/>
      <c r="X174" s="97"/>
      <c r="Y174" s="100"/>
      <c r="Z174" s="100"/>
      <c r="AA174" s="100"/>
      <c r="AB174" s="100"/>
      <c r="AC174" s="100"/>
      <c r="AD174" s="98"/>
      <c r="AE174" s="83"/>
      <c r="AF174" s="84"/>
      <c r="AG174" s="85"/>
      <c r="AH174" s="83"/>
      <c r="AI174" s="84"/>
      <c r="AJ174" s="84"/>
      <c r="AK174" s="85"/>
      <c r="AL174" s="83"/>
      <c r="AM174" s="84"/>
      <c r="AN174" s="85"/>
      <c r="AO174" s="60"/>
      <c r="AP174" s="61"/>
      <c r="AQ174" s="78">
        <f t="shared" si="4"/>
        <v>0</v>
      </c>
      <c r="AR174" s="37"/>
      <c r="AS174" s="78">
        <f t="shared" si="5"/>
        <v>0</v>
      </c>
      <c r="AT174" s="37"/>
      <c r="AU174" s="37"/>
      <c r="AV174" s="37"/>
      <c r="AW174" s="37"/>
      <c r="AX174" s="37"/>
    </row>
    <row r="175" spans="1:50" ht="20.100000000000001" customHeight="1" x14ac:dyDescent="0.25">
      <c r="A175" s="37"/>
      <c r="B175" s="58"/>
      <c r="C175" s="37"/>
      <c r="D175" s="97"/>
      <c r="E175" s="98"/>
      <c r="F175" s="101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3"/>
      <c r="T175" s="83"/>
      <c r="U175" s="85"/>
      <c r="V175" s="83"/>
      <c r="W175" s="85"/>
      <c r="X175" s="97"/>
      <c r="Y175" s="100"/>
      <c r="Z175" s="100"/>
      <c r="AA175" s="100"/>
      <c r="AB175" s="100"/>
      <c r="AC175" s="100"/>
      <c r="AD175" s="98"/>
      <c r="AE175" s="83"/>
      <c r="AF175" s="84"/>
      <c r="AG175" s="85"/>
      <c r="AH175" s="83"/>
      <c r="AI175" s="84"/>
      <c r="AJ175" s="84"/>
      <c r="AK175" s="85"/>
      <c r="AL175" s="83"/>
      <c r="AM175" s="84"/>
      <c r="AN175" s="85"/>
      <c r="AO175" s="60"/>
      <c r="AP175" s="61"/>
      <c r="AQ175" s="78">
        <f t="shared" si="4"/>
        <v>0</v>
      </c>
      <c r="AR175" s="37"/>
      <c r="AS175" s="78">
        <f t="shared" si="5"/>
        <v>0</v>
      </c>
      <c r="AT175" s="37"/>
      <c r="AU175" s="37"/>
      <c r="AV175" s="37"/>
      <c r="AW175" s="37"/>
      <c r="AX175" s="37"/>
    </row>
    <row r="176" spans="1:50" ht="20.100000000000001" customHeight="1" x14ac:dyDescent="0.25">
      <c r="A176" s="37"/>
      <c r="B176" s="58"/>
      <c r="C176" s="37"/>
      <c r="D176" s="97"/>
      <c r="E176" s="98"/>
      <c r="F176" s="101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3"/>
      <c r="T176" s="83"/>
      <c r="U176" s="85"/>
      <c r="V176" s="83"/>
      <c r="W176" s="85"/>
      <c r="X176" s="97"/>
      <c r="Y176" s="100"/>
      <c r="Z176" s="100"/>
      <c r="AA176" s="100"/>
      <c r="AB176" s="100"/>
      <c r="AC176" s="100"/>
      <c r="AD176" s="98"/>
      <c r="AE176" s="83"/>
      <c r="AF176" s="84"/>
      <c r="AG176" s="85"/>
      <c r="AH176" s="83"/>
      <c r="AI176" s="84"/>
      <c r="AJ176" s="84"/>
      <c r="AK176" s="85"/>
      <c r="AL176" s="83"/>
      <c r="AM176" s="84"/>
      <c r="AN176" s="85"/>
      <c r="AO176" s="60"/>
      <c r="AP176" s="61"/>
      <c r="AQ176" s="78">
        <f t="shared" si="4"/>
        <v>0</v>
      </c>
      <c r="AR176" s="37"/>
      <c r="AS176" s="78">
        <f t="shared" si="5"/>
        <v>0</v>
      </c>
      <c r="AT176" s="37"/>
      <c r="AU176" s="37"/>
      <c r="AV176" s="37"/>
      <c r="AW176" s="37"/>
      <c r="AX176" s="37"/>
    </row>
    <row r="177" spans="1:50" ht="20.100000000000001" customHeight="1" x14ac:dyDescent="0.25">
      <c r="A177" s="37"/>
      <c r="B177" s="58"/>
      <c r="C177" s="37"/>
      <c r="D177" s="97"/>
      <c r="E177" s="98"/>
      <c r="F177" s="101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3"/>
      <c r="T177" s="83"/>
      <c r="U177" s="85"/>
      <c r="V177" s="83"/>
      <c r="W177" s="85"/>
      <c r="X177" s="97"/>
      <c r="Y177" s="100"/>
      <c r="Z177" s="100"/>
      <c r="AA177" s="100"/>
      <c r="AB177" s="100"/>
      <c r="AC177" s="100"/>
      <c r="AD177" s="98"/>
      <c r="AE177" s="83"/>
      <c r="AF177" s="84"/>
      <c r="AG177" s="85"/>
      <c r="AH177" s="83"/>
      <c r="AI177" s="84"/>
      <c r="AJ177" s="84"/>
      <c r="AK177" s="85"/>
      <c r="AL177" s="83"/>
      <c r="AM177" s="84"/>
      <c r="AN177" s="85"/>
      <c r="AO177" s="60"/>
      <c r="AP177" s="61"/>
      <c r="AQ177" s="78">
        <f t="shared" si="4"/>
        <v>0</v>
      </c>
      <c r="AR177" s="37"/>
      <c r="AS177" s="78">
        <f t="shared" si="5"/>
        <v>0</v>
      </c>
      <c r="AT177" s="37"/>
      <c r="AU177" s="37"/>
      <c r="AV177" s="37"/>
      <c r="AW177" s="37"/>
      <c r="AX177" s="37"/>
    </row>
    <row r="178" spans="1:50" ht="20.100000000000001" customHeight="1" x14ac:dyDescent="0.25">
      <c r="A178" s="37"/>
      <c r="B178" s="58"/>
      <c r="C178" s="37"/>
      <c r="D178" s="97"/>
      <c r="E178" s="98"/>
      <c r="F178" s="101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3"/>
      <c r="T178" s="83"/>
      <c r="U178" s="85"/>
      <c r="V178" s="83"/>
      <c r="W178" s="85"/>
      <c r="X178" s="97"/>
      <c r="Y178" s="100"/>
      <c r="Z178" s="100"/>
      <c r="AA178" s="100"/>
      <c r="AB178" s="100"/>
      <c r="AC178" s="100"/>
      <c r="AD178" s="98"/>
      <c r="AE178" s="83"/>
      <c r="AF178" s="84"/>
      <c r="AG178" s="85"/>
      <c r="AH178" s="83"/>
      <c r="AI178" s="84"/>
      <c r="AJ178" s="84"/>
      <c r="AK178" s="85"/>
      <c r="AL178" s="83"/>
      <c r="AM178" s="84"/>
      <c r="AN178" s="85"/>
      <c r="AO178" s="60"/>
      <c r="AP178" s="61"/>
      <c r="AQ178" s="78">
        <f t="shared" si="4"/>
        <v>0</v>
      </c>
      <c r="AR178" s="37"/>
      <c r="AS178" s="78">
        <f t="shared" si="5"/>
        <v>0</v>
      </c>
      <c r="AT178" s="37"/>
      <c r="AU178" s="37"/>
      <c r="AV178" s="37"/>
      <c r="AW178" s="37"/>
      <c r="AX178" s="37"/>
    </row>
    <row r="179" spans="1:50" ht="20.100000000000001" customHeight="1" x14ac:dyDescent="0.25">
      <c r="A179" s="37"/>
      <c r="B179" s="58"/>
      <c r="C179" s="37"/>
      <c r="D179" s="97"/>
      <c r="E179" s="98"/>
      <c r="F179" s="101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3"/>
      <c r="T179" s="83"/>
      <c r="U179" s="85"/>
      <c r="V179" s="83"/>
      <c r="W179" s="85"/>
      <c r="X179" s="97"/>
      <c r="Y179" s="100"/>
      <c r="Z179" s="100"/>
      <c r="AA179" s="100"/>
      <c r="AB179" s="100"/>
      <c r="AC179" s="100"/>
      <c r="AD179" s="98"/>
      <c r="AE179" s="83"/>
      <c r="AF179" s="84"/>
      <c r="AG179" s="85"/>
      <c r="AH179" s="83"/>
      <c r="AI179" s="84"/>
      <c r="AJ179" s="84"/>
      <c r="AK179" s="85"/>
      <c r="AL179" s="83"/>
      <c r="AM179" s="84"/>
      <c r="AN179" s="85"/>
      <c r="AO179" s="60"/>
      <c r="AP179" s="61"/>
      <c r="AQ179" s="78">
        <f t="shared" si="4"/>
        <v>0</v>
      </c>
      <c r="AR179" s="37"/>
      <c r="AS179" s="78">
        <f t="shared" si="5"/>
        <v>0</v>
      </c>
      <c r="AT179" s="37"/>
      <c r="AU179" s="37"/>
      <c r="AV179" s="37"/>
      <c r="AW179" s="37"/>
      <c r="AX179" s="37"/>
    </row>
    <row r="180" spans="1:50" ht="20.100000000000001" customHeight="1" x14ac:dyDescent="0.25">
      <c r="A180" s="37"/>
      <c r="B180" s="58"/>
      <c r="C180" s="37"/>
      <c r="D180" s="97"/>
      <c r="E180" s="98"/>
      <c r="F180" s="101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3"/>
      <c r="T180" s="83"/>
      <c r="U180" s="85"/>
      <c r="V180" s="83"/>
      <c r="W180" s="85"/>
      <c r="X180" s="97"/>
      <c r="Y180" s="100"/>
      <c r="Z180" s="100"/>
      <c r="AA180" s="100"/>
      <c r="AB180" s="100"/>
      <c r="AC180" s="100"/>
      <c r="AD180" s="98"/>
      <c r="AE180" s="83"/>
      <c r="AF180" s="84"/>
      <c r="AG180" s="85"/>
      <c r="AH180" s="83"/>
      <c r="AI180" s="84"/>
      <c r="AJ180" s="84"/>
      <c r="AK180" s="85"/>
      <c r="AL180" s="83"/>
      <c r="AM180" s="84"/>
      <c r="AN180" s="85"/>
      <c r="AO180" s="60"/>
      <c r="AP180" s="61"/>
      <c r="AQ180" s="78">
        <f t="shared" si="4"/>
        <v>0</v>
      </c>
      <c r="AR180" s="37"/>
      <c r="AS180" s="78">
        <f t="shared" si="5"/>
        <v>0</v>
      </c>
      <c r="AT180" s="37"/>
      <c r="AU180" s="37"/>
      <c r="AV180" s="37"/>
      <c r="AW180" s="37"/>
      <c r="AX180" s="37"/>
    </row>
    <row r="181" spans="1:50" ht="20.100000000000001" customHeight="1" x14ac:dyDescent="0.25">
      <c r="A181" s="37"/>
      <c r="B181" s="58"/>
      <c r="C181" s="37"/>
      <c r="D181" s="97"/>
      <c r="E181" s="98"/>
      <c r="F181" s="101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3"/>
      <c r="T181" s="83"/>
      <c r="U181" s="85"/>
      <c r="V181" s="83"/>
      <c r="W181" s="85"/>
      <c r="X181" s="97"/>
      <c r="Y181" s="100"/>
      <c r="Z181" s="100"/>
      <c r="AA181" s="100"/>
      <c r="AB181" s="100"/>
      <c r="AC181" s="100"/>
      <c r="AD181" s="98"/>
      <c r="AE181" s="83"/>
      <c r="AF181" s="84"/>
      <c r="AG181" s="85"/>
      <c r="AH181" s="83"/>
      <c r="AI181" s="84"/>
      <c r="AJ181" s="84"/>
      <c r="AK181" s="85"/>
      <c r="AL181" s="83"/>
      <c r="AM181" s="84"/>
      <c r="AN181" s="85"/>
      <c r="AO181" s="60"/>
      <c r="AP181" s="61"/>
      <c r="AQ181" s="78">
        <f t="shared" si="4"/>
        <v>0</v>
      </c>
      <c r="AR181" s="37"/>
      <c r="AS181" s="78">
        <f t="shared" si="5"/>
        <v>0</v>
      </c>
      <c r="AT181" s="37"/>
      <c r="AU181" s="37"/>
      <c r="AV181" s="37"/>
      <c r="AW181" s="37"/>
      <c r="AX181" s="37"/>
    </row>
    <row r="182" spans="1:50" ht="20.100000000000001" customHeight="1" x14ac:dyDescent="0.25">
      <c r="A182" s="37"/>
      <c r="B182" s="58"/>
      <c r="C182" s="37"/>
      <c r="D182" s="97"/>
      <c r="E182" s="98"/>
      <c r="F182" s="101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3"/>
      <c r="T182" s="83"/>
      <c r="U182" s="85"/>
      <c r="V182" s="83"/>
      <c r="W182" s="85"/>
      <c r="X182" s="97"/>
      <c r="Y182" s="100"/>
      <c r="Z182" s="100"/>
      <c r="AA182" s="100"/>
      <c r="AB182" s="100"/>
      <c r="AC182" s="100"/>
      <c r="AD182" s="98"/>
      <c r="AE182" s="83"/>
      <c r="AF182" s="84"/>
      <c r="AG182" s="85"/>
      <c r="AH182" s="83"/>
      <c r="AI182" s="84"/>
      <c r="AJ182" s="84"/>
      <c r="AK182" s="85"/>
      <c r="AL182" s="83"/>
      <c r="AM182" s="84"/>
      <c r="AN182" s="85"/>
      <c r="AO182" s="60"/>
      <c r="AP182" s="61"/>
      <c r="AQ182" s="78">
        <f t="shared" si="4"/>
        <v>0</v>
      </c>
      <c r="AR182" s="37"/>
      <c r="AS182" s="78">
        <f t="shared" si="5"/>
        <v>0</v>
      </c>
      <c r="AT182" s="37"/>
      <c r="AU182" s="37"/>
      <c r="AV182" s="37"/>
      <c r="AW182" s="37"/>
      <c r="AX182" s="37"/>
    </row>
    <row r="183" spans="1:50" ht="20.100000000000001" customHeight="1" x14ac:dyDescent="0.25">
      <c r="A183" s="37"/>
      <c r="B183" s="58"/>
      <c r="C183" s="37"/>
      <c r="D183" s="97"/>
      <c r="E183" s="98"/>
      <c r="F183" s="101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3"/>
      <c r="T183" s="83"/>
      <c r="U183" s="85"/>
      <c r="V183" s="83"/>
      <c r="W183" s="85"/>
      <c r="X183" s="97"/>
      <c r="Y183" s="100"/>
      <c r="Z183" s="100"/>
      <c r="AA183" s="100"/>
      <c r="AB183" s="100"/>
      <c r="AC183" s="100"/>
      <c r="AD183" s="98"/>
      <c r="AE183" s="83"/>
      <c r="AF183" s="84"/>
      <c r="AG183" s="85"/>
      <c r="AH183" s="83"/>
      <c r="AI183" s="84"/>
      <c r="AJ183" s="84"/>
      <c r="AK183" s="85"/>
      <c r="AL183" s="83"/>
      <c r="AM183" s="84"/>
      <c r="AN183" s="85"/>
      <c r="AO183" s="60"/>
      <c r="AP183" s="61"/>
      <c r="AQ183" s="78">
        <f t="shared" si="4"/>
        <v>0</v>
      </c>
      <c r="AR183" s="37"/>
      <c r="AS183" s="78">
        <f t="shared" si="5"/>
        <v>0</v>
      </c>
      <c r="AT183" s="37"/>
      <c r="AU183" s="37"/>
      <c r="AV183" s="37"/>
      <c r="AW183" s="37"/>
      <c r="AX183" s="37"/>
    </row>
    <row r="184" spans="1:50" ht="20.100000000000001" customHeight="1" x14ac:dyDescent="0.25">
      <c r="A184" s="37"/>
      <c r="B184" s="58"/>
      <c r="C184" s="37"/>
      <c r="D184" s="97"/>
      <c r="E184" s="98"/>
      <c r="F184" s="101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3"/>
      <c r="T184" s="83"/>
      <c r="U184" s="85"/>
      <c r="V184" s="83"/>
      <c r="W184" s="85"/>
      <c r="X184" s="97"/>
      <c r="Y184" s="100"/>
      <c r="Z184" s="100"/>
      <c r="AA184" s="100"/>
      <c r="AB184" s="100"/>
      <c r="AC184" s="100"/>
      <c r="AD184" s="98"/>
      <c r="AE184" s="83"/>
      <c r="AF184" s="84"/>
      <c r="AG184" s="85"/>
      <c r="AH184" s="83"/>
      <c r="AI184" s="84"/>
      <c r="AJ184" s="84"/>
      <c r="AK184" s="85"/>
      <c r="AL184" s="83"/>
      <c r="AM184" s="84"/>
      <c r="AN184" s="85"/>
      <c r="AO184" s="60"/>
      <c r="AP184" s="61"/>
      <c r="AQ184" s="78">
        <f t="shared" si="4"/>
        <v>0</v>
      </c>
      <c r="AR184" s="37"/>
      <c r="AS184" s="78">
        <f t="shared" si="5"/>
        <v>0</v>
      </c>
      <c r="AT184" s="37"/>
      <c r="AU184" s="37"/>
      <c r="AV184" s="37"/>
      <c r="AW184" s="37"/>
      <c r="AX184" s="37"/>
    </row>
    <row r="185" spans="1:50" ht="20.100000000000001" customHeight="1" x14ac:dyDescent="0.25">
      <c r="A185" s="37"/>
      <c r="B185" s="58"/>
      <c r="C185" s="37"/>
      <c r="D185" s="97"/>
      <c r="E185" s="98"/>
      <c r="F185" s="101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3"/>
      <c r="T185" s="83"/>
      <c r="U185" s="85"/>
      <c r="V185" s="83"/>
      <c r="W185" s="85"/>
      <c r="X185" s="97"/>
      <c r="Y185" s="100"/>
      <c r="Z185" s="100"/>
      <c r="AA185" s="100"/>
      <c r="AB185" s="100"/>
      <c r="AC185" s="100"/>
      <c r="AD185" s="98"/>
      <c r="AE185" s="83"/>
      <c r="AF185" s="84"/>
      <c r="AG185" s="85"/>
      <c r="AH185" s="83"/>
      <c r="AI185" s="84"/>
      <c r="AJ185" s="84"/>
      <c r="AK185" s="85"/>
      <c r="AL185" s="83"/>
      <c r="AM185" s="84"/>
      <c r="AN185" s="85"/>
      <c r="AO185" s="60"/>
      <c r="AP185" s="61"/>
      <c r="AQ185" s="78">
        <f t="shared" si="4"/>
        <v>0</v>
      </c>
      <c r="AR185" s="37"/>
      <c r="AS185" s="78">
        <f t="shared" si="5"/>
        <v>0</v>
      </c>
      <c r="AT185" s="37"/>
      <c r="AU185" s="37"/>
      <c r="AV185" s="37"/>
      <c r="AW185" s="37"/>
      <c r="AX185" s="37"/>
    </row>
    <row r="186" spans="1:50" ht="20.100000000000001" customHeight="1" x14ac:dyDescent="0.25">
      <c r="A186" s="37"/>
      <c r="B186" s="58"/>
      <c r="C186" s="37"/>
      <c r="D186" s="97"/>
      <c r="E186" s="98"/>
      <c r="F186" s="101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3"/>
      <c r="T186" s="83"/>
      <c r="U186" s="85"/>
      <c r="V186" s="83"/>
      <c r="W186" s="85"/>
      <c r="X186" s="97"/>
      <c r="Y186" s="100"/>
      <c r="Z186" s="100"/>
      <c r="AA186" s="100"/>
      <c r="AB186" s="100"/>
      <c r="AC186" s="100"/>
      <c r="AD186" s="98"/>
      <c r="AE186" s="83"/>
      <c r="AF186" s="84"/>
      <c r="AG186" s="85"/>
      <c r="AH186" s="83"/>
      <c r="AI186" s="84"/>
      <c r="AJ186" s="84"/>
      <c r="AK186" s="85"/>
      <c r="AL186" s="83"/>
      <c r="AM186" s="84"/>
      <c r="AN186" s="85"/>
      <c r="AO186" s="60"/>
      <c r="AP186" s="61"/>
      <c r="AQ186" s="78">
        <f t="shared" si="4"/>
        <v>0</v>
      </c>
      <c r="AR186" s="37"/>
      <c r="AS186" s="78">
        <f t="shared" si="5"/>
        <v>0</v>
      </c>
      <c r="AT186" s="37"/>
      <c r="AU186" s="37"/>
      <c r="AV186" s="37"/>
      <c r="AW186" s="37"/>
      <c r="AX186" s="37"/>
    </row>
    <row r="187" spans="1:50" ht="20.100000000000001" customHeight="1" x14ac:dyDescent="0.25">
      <c r="A187" s="37"/>
      <c r="B187" s="58"/>
      <c r="C187" s="37"/>
      <c r="D187" s="97"/>
      <c r="E187" s="98"/>
      <c r="F187" s="101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3"/>
      <c r="T187" s="83"/>
      <c r="U187" s="85"/>
      <c r="V187" s="83"/>
      <c r="W187" s="85"/>
      <c r="X187" s="97"/>
      <c r="Y187" s="100"/>
      <c r="Z187" s="100"/>
      <c r="AA187" s="100"/>
      <c r="AB187" s="100"/>
      <c r="AC187" s="100"/>
      <c r="AD187" s="98"/>
      <c r="AE187" s="83"/>
      <c r="AF187" s="84"/>
      <c r="AG187" s="85"/>
      <c r="AH187" s="83"/>
      <c r="AI187" s="84"/>
      <c r="AJ187" s="84"/>
      <c r="AK187" s="85"/>
      <c r="AL187" s="83"/>
      <c r="AM187" s="84"/>
      <c r="AN187" s="85"/>
      <c r="AO187" s="60"/>
      <c r="AP187" s="61"/>
      <c r="AQ187" s="78">
        <f t="shared" si="4"/>
        <v>0</v>
      </c>
      <c r="AR187" s="37"/>
      <c r="AS187" s="78">
        <f t="shared" si="5"/>
        <v>0</v>
      </c>
      <c r="AT187" s="37"/>
      <c r="AU187" s="37"/>
      <c r="AV187" s="37"/>
      <c r="AW187" s="37"/>
      <c r="AX187" s="37"/>
    </row>
    <row r="188" spans="1:50" ht="20.100000000000001" customHeight="1" x14ac:dyDescent="0.25">
      <c r="A188" s="37"/>
      <c r="B188" s="58"/>
      <c r="C188" s="37"/>
      <c r="D188" s="97"/>
      <c r="E188" s="98"/>
      <c r="F188" s="101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3"/>
      <c r="T188" s="83"/>
      <c r="U188" s="85"/>
      <c r="V188" s="83"/>
      <c r="W188" s="85"/>
      <c r="X188" s="97"/>
      <c r="Y188" s="100"/>
      <c r="Z188" s="100"/>
      <c r="AA188" s="100"/>
      <c r="AB188" s="100"/>
      <c r="AC188" s="100"/>
      <c r="AD188" s="98"/>
      <c r="AE188" s="83"/>
      <c r="AF188" s="84"/>
      <c r="AG188" s="85"/>
      <c r="AH188" s="83"/>
      <c r="AI188" s="84"/>
      <c r="AJ188" s="84"/>
      <c r="AK188" s="85"/>
      <c r="AL188" s="83"/>
      <c r="AM188" s="84"/>
      <c r="AN188" s="85"/>
      <c r="AO188" s="60"/>
      <c r="AP188" s="61"/>
      <c r="AQ188" s="78">
        <f t="shared" si="4"/>
        <v>0</v>
      </c>
      <c r="AR188" s="37"/>
      <c r="AS188" s="78">
        <f t="shared" si="5"/>
        <v>0</v>
      </c>
      <c r="AT188" s="37"/>
      <c r="AU188" s="37"/>
      <c r="AV188" s="37"/>
      <c r="AW188" s="37"/>
      <c r="AX188" s="37"/>
    </row>
    <row r="189" spans="1:50" ht="20.100000000000001" customHeight="1" x14ac:dyDescent="0.25">
      <c r="A189" s="37"/>
      <c r="B189" s="58"/>
      <c r="C189" s="37"/>
      <c r="D189" s="97"/>
      <c r="E189" s="98"/>
      <c r="F189" s="101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3"/>
      <c r="T189" s="83"/>
      <c r="U189" s="85"/>
      <c r="V189" s="83"/>
      <c r="W189" s="85"/>
      <c r="X189" s="97"/>
      <c r="Y189" s="100"/>
      <c r="Z189" s="100"/>
      <c r="AA189" s="100"/>
      <c r="AB189" s="100"/>
      <c r="AC189" s="100"/>
      <c r="AD189" s="98"/>
      <c r="AE189" s="83"/>
      <c r="AF189" s="84"/>
      <c r="AG189" s="85"/>
      <c r="AH189" s="83"/>
      <c r="AI189" s="84"/>
      <c r="AJ189" s="84"/>
      <c r="AK189" s="85"/>
      <c r="AL189" s="83"/>
      <c r="AM189" s="84"/>
      <c r="AN189" s="85"/>
      <c r="AO189" s="60"/>
      <c r="AP189" s="61"/>
      <c r="AQ189" s="78">
        <f t="shared" si="4"/>
        <v>0</v>
      </c>
      <c r="AR189" s="37"/>
      <c r="AS189" s="78">
        <f t="shared" si="5"/>
        <v>0</v>
      </c>
      <c r="AT189" s="37"/>
      <c r="AU189" s="37"/>
      <c r="AV189" s="37"/>
      <c r="AW189" s="37"/>
      <c r="AX189" s="37"/>
    </row>
    <row r="190" spans="1:50" ht="20.100000000000001" customHeight="1" x14ac:dyDescent="0.25">
      <c r="A190" s="37"/>
      <c r="B190" s="58"/>
      <c r="C190" s="37"/>
      <c r="D190" s="97"/>
      <c r="E190" s="98"/>
      <c r="F190" s="101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3"/>
      <c r="T190" s="83"/>
      <c r="U190" s="85"/>
      <c r="V190" s="83"/>
      <c r="W190" s="85"/>
      <c r="X190" s="97"/>
      <c r="Y190" s="100"/>
      <c r="Z190" s="100"/>
      <c r="AA190" s="100"/>
      <c r="AB190" s="100"/>
      <c r="AC190" s="100"/>
      <c r="AD190" s="98"/>
      <c r="AE190" s="83"/>
      <c r="AF190" s="84"/>
      <c r="AG190" s="85"/>
      <c r="AH190" s="83"/>
      <c r="AI190" s="84"/>
      <c r="AJ190" s="84"/>
      <c r="AK190" s="85"/>
      <c r="AL190" s="83"/>
      <c r="AM190" s="84"/>
      <c r="AN190" s="85"/>
      <c r="AO190" s="60"/>
      <c r="AP190" s="61"/>
      <c r="AQ190" s="78">
        <f t="shared" si="4"/>
        <v>0</v>
      </c>
      <c r="AR190" s="37"/>
      <c r="AS190" s="78">
        <f t="shared" si="5"/>
        <v>0</v>
      </c>
      <c r="AT190" s="37"/>
      <c r="AU190" s="37"/>
      <c r="AV190" s="37"/>
      <c r="AW190" s="37"/>
      <c r="AX190" s="37"/>
    </row>
    <row r="191" spans="1:50" ht="20.100000000000001" customHeight="1" x14ac:dyDescent="0.25">
      <c r="A191" s="37"/>
      <c r="B191" s="58"/>
      <c r="C191" s="37"/>
      <c r="D191" s="97"/>
      <c r="E191" s="98"/>
      <c r="F191" s="101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3"/>
      <c r="T191" s="83"/>
      <c r="U191" s="85"/>
      <c r="V191" s="83"/>
      <c r="W191" s="85"/>
      <c r="X191" s="97"/>
      <c r="Y191" s="100"/>
      <c r="Z191" s="100"/>
      <c r="AA191" s="100"/>
      <c r="AB191" s="100"/>
      <c r="AC191" s="100"/>
      <c r="AD191" s="98"/>
      <c r="AE191" s="83"/>
      <c r="AF191" s="84"/>
      <c r="AG191" s="85"/>
      <c r="AH191" s="83"/>
      <c r="AI191" s="84"/>
      <c r="AJ191" s="84"/>
      <c r="AK191" s="85"/>
      <c r="AL191" s="83"/>
      <c r="AM191" s="84"/>
      <c r="AN191" s="85"/>
      <c r="AO191" s="60"/>
      <c r="AP191" s="61"/>
      <c r="AQ191" s="78">
        <f t="shared" si="4"/>
        <v>0</v>
      </c>
      <c r="AR191" s="37"/>
      <c r="AS191" s="78">
        <f t="shared" si="5"/>
        <v>0</v>
      </c>
      <c r="AT191" s="37"/>
      <c r="AU191" s="37"/>
      <c r="AV191" s="37"/>
      <c r="AW191" s="37"/>
      <c r="AX191" s="37"/>
    </row>
    <row r="192" spans="1:50" ht="20.100000000000001" customHeight="1" x14ac:dyDescent="0.25">
      <c r="A192" s="37"/>
      <c r="B192" s="58"/>
      <c r="C192" s="37"/>
      <c r="D192" s="97"/>
      <c r="E192" s="98"/>
      <c r="F192" s="101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3"/>
      <c r="T192" s="83"/>
      <c r="U192" s="85"/>
      <c r="V192" s="83"/>
      <c r="W192" s="85"/>
      <c r="X192" s="97"/>
      <c r="Y192" s="100"/>
      <c r="Z192" s="100"/>
      <c r="AA192" s="100"/>
      <c r="AB192" s="100"/>
      <c r="AC192" s="100"/>
      <c r="AD192" s="98"/>
      <c r="AE192" s="83"/>
      <c r="AF192" s="84"/>
      <c r="AG192" s="85"/>
      <c r="AH192" s="83"/>
      <c r="AI192" s="84"/>
      <c r="AJ192" s="84"/>
      <c r="AK192" s="85"/>
      <c r="AL192" s="83"/>
      <c r="AM192" s="84"/>
      <c r="AN192" s="85"/>
      <c r="AO192" s="60"/>
      <c r="AP192" s="61"/>
      <c r="AQ192" s="78">
        <f t="shared" si="4"/>
        <v>0</v>
      </c>
      <c r="AR192" s="37"/>
      <c r="AS192" s="78">
        <f t="shared" si="5"/>
        <v>0</v>
      </c>
      <c r="AT192" s="37"/>
      <c r="AU192" s="37"/>
      <c r="AV192" s="37"/>
      <c r="AW192" s="37"/>
      <c r="AX192" s="37"/>
    </row>
    <row r="193" spans="1:50" ht="20.100000000000001" customHeight="1" x14ac:dyDescent="0.25">
      <c r="A193" s="37"/>
      <c r="B193" s="58"/>
      <c r="C193" s="37"/>
      <c r="D193" s="97"/>
      <c r="E193" s="98"/>
      <c r="F193" s="101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3"/>
      <c r="T193" s="83"/>
      <c r="U193" s="85"/>
      <c r="V193" s="83"/>
      <c r="W193" s="85"/>
      <c r="X193" s="97"/>
      <c r="Y193" s="100"/>
      <c r="Z193" s="100"/>
      <c r="AA193" s="100"/>
      <c r="AB193" s="100"/>
      <c r="AC193" s="100"/>
      <c r="AD193" s="98"/>
      <c r="AE193" s="83"/>
      <c r="AF193" s="84"/>
      <c r="AG193" s="85"/>
      <c r="AH193" s="83"/>
      <c r="AI193" s="84"/>
      <c r="AJ193" s="84"/>
      <c r="AK193" s="85"/>
      <c r="AL193" s="83"/>
      <c r="AM193" s="84"/>
      <c r="AN193" s="85"/>
      <c r="AO193" s="60"/>
      <c r="AP193" s="61"/>
      <c r="AQ193" s="78">
        <f t="shared" si="4"/>
        <v>0</v>
      </c>
      <c r="AR193" s="37"/>
      <c r="AS193" s="78">
        <f t="shared" si="5"/>
        <v>0</v>
      </c>
      <c r="AT193" s="37"/>
      <c r="AU193" s="37"/>
      <c r="AV193" s="37"/>
      <c r="AW193" s="37"/>
      <c r="AX193" s="37"/>
    </row>
    <row r="194" spans="1:50" ht="20.100000000000001" customHeight="1" x14ac:dyDescent="0.25">
      <c r="A194" s="37"/>
      <c r="B194" s="58"/>
      <c r="C194" s="37"/>
      <c r="D194" s="97"/>
      <c r="E194" s="98"/>
      <c r="F194" s="101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3"/>
      <c r="T194" s="83"/>
      <c r="U194" s="85"/>
      <c r="V194" s="83"/>
      <c r="W194" s="85"/>
      <c r="X194" s="97"/>
      <c r="Y194" s="100"/>
      <c r="Z194" s="100"/>
      <c r="AA194" s="100"/>
      <c r="AB194" s="100"/>
      <c r="AC194" s="100"/>
      <c r="AD194" s="98"/>
      <c r="AE194" s="83"/>
      <c r="AF194" s="84"/>
      <c r="AG194" s="85"/>
      <c r="AH194" s="83"/>
      <c r="AI194" s="84"/>
      <c r="AJ194" s="84"/>
      <c r="AK194" s="85"/>
      <c r="AL194" s="83"/>
      <c r="AM194" s="84"/>
      <c r="AN194" s="85"/>
      <c r="AO194" s="60"/>
      <c r="AP194" s="61"/>
      <c r="AQ194" s="78">
        <f t="shared" si="4"/>
        <v>0</v>
      </c>
      <c r="AR194" s="37"/>
      <c r="AS194" s="78">
        <f t="shared" si="5"/>
        <v>0</v>
      </c>
      <c r="AT194" s="37"/>
      <c r="AU194" s="37"/>
      <c r="AV194" s="37"/>
      <c r="AW194" s="37"/>
      <c r="AX194" s="37"/>
    </row>
    <row r="195" spans="1:50" ht="20.100000000000001" customHeight="1" x14ac:dyDescent="0.25">
      <c r="A195" s="37"/>
      <c r="B195" s="58"/>
      <c r="C195" s="37"/>
      <c r="D195" s="97"/>
      <c r="E195" s="98"/>
      <c r="F195" s="101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3"/>
      <c r="T195" s="83"/>
      <c r="U195" s="85"/>
      <c r="V195" s="83"/>
      <c r="W195" s="85"/>
      <c r="X195" s="97"/>
      <c r="Y195" s="100"/>
      <c r="Z195" s="100"/>
      <c r="AA195" s="100"/>
      <c r="AB195" s="100"/>
      <c r="AC195" s="100"/>
      <c r="AD195" s="98"/>
      <c r="AE195" s="83"/>
      <c r="AF195" s="84"/>
      <c r="AG195" s="85"/>
      <c r="AH195" s="83"/>
      <c r="AI195" s="84"/>
      <c r="AJ195" s="84"/>
      <c r="AK195" s="85"/>
      <c r="AL195" s="83"/>
      <c r="AM195" s="84"/>
      <c r="AN195" s="85"/>
      <c r="AO195" s="60"/>
      <c r="AP195" s="61"/>
      <c r="AQ195" s="78">
        <f t="shared" si="4"/>
        <v>0</v>
      </c>
      <c r="AR195" s="37"/>
      <c r="AS195" s="78">
        <f t="shared" si="5"/>
        <v>0</v>
      </c>
      <c r="AT195" s="37"/>
      <c r="AU195" s="37"/>
      <c r="AV195" s="37"/>
      <c r="AW195" s="37"/>
      <c r="AX195" s="37"/>
    </row>
    <row r="196" spans="1:50" ht="20.100000000000001" customHeight="1" x14ac:dyDescent="0.25">
      <c r="A196" s="37"/>
      <c r="B196" s="58"/>
      <c r="C196" s="37"/>
      <c r="D196" s="97"/>
      <c r="E196" s="98"/>
      <c r="F196" s="101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3"/>
      <c r="T196" s="83"/>
      <c r="U196" s="85"/>
      <c r="V196" s="83"/>
      <c r="W196" s="85"/>
      <c r="X196" s="97"/>
      <c r="Y196" s="100"/>
      <c r="Z196" s="100"/>
      <c r="AA196" s="100"/>
      <c r="AB196" s="100"/>
      <c r="AC196" s="100"/>
      <c r="AD196" s="98"/>
      <c r="AE196" s="83"/>
      <c r="AF196" s="84"/>
      <c r="AG196" s="85"/>
      <c r="AH196" s="83"/>
      <c r="AI196" s="84"/>
      <c r="AJ196" s="84"/>
      <c r="AK196" s="85"/>
      <c r="AL196" s="83"/>
      <c r="AM196" s="84"/>
      <c r="AN196" s="85"/>
      <c r="AO196" s="60"/>
      <c r="AP196" s="61"/>
      <c r="AQ196" s="78">
        <f t="shared" si="4"/>
        <v>0</v>
      </c>
      <c r="AR196" s="37"/>
      <c r="AS196" s="78">
        <f t="shared" si="5"/>
        <v>0</v>
      </c>
      <c r="AT196" s="37"/>
      <c r="AU196" s="37"/>
      <c r="AV196" s="37"/>
      <c r="AW196" s="37"/>
      <c r="AX196" s="37"/>
    </row>
    <row r="197" spans="1:50" ht="20.100000000000001" customHeight="1" x14ac:dyDescent="0.25">
      <c r="A197" s="37"/>
      <c r="B197" s="58"/>
      <c r="C197" s="37"/>
      <c r="D197" s="97"/>
      <c r="E197" s="98"/>
      <c r="F197" s="101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3"/>
      <c r="T197" s="83"/>
      <c r="U197" s="85"/>
      <c r="V197" s="83"/>
      <c r="W197" s="85"/>
      <c r="X197" s="97"/>
      <c r="Y197" s="100"/>
      <c r="Z197" s="100"/>
      <c r="AA197" s="100"/>
      <c r="AB197" s="100"/>
      <c r="AC197" s="100"/>
      <c r="AD197" s="98"/>
      <c r="AE197" s="83"/>
      <c r="AF197" s="84"/>
      <c r="AG197" s="85"/>
      <c r="AH197" s="83"/>
      <c r="AI197" s="84"/>
      <c r="AJ197" s="84"/>
      <c r="AK197" s="85"/>
      <c r="AL197" s="83"/>
      <c r="AM197" s="84"/>
      <c r="AN197" s="85"/>
      <c r="AO197" s="60"/>
      <c r="AP197" s="61"/>
      <c r="AQ197" s="78">
        <f t="shared" si="4"/>
        <v>0</v>
      </c>
      <c r="AR197" s="37"/>
      <c r="AS197" s="78">
        <f t="shared" si="5"/>
        <v>0</v>
      </c>
      <c r="AT197" s="37"/>
      <c r="AU197" s="37"/>
      <c r="AV197" s="37"/>
      <c r="AW197" s="37"/>
      <c r="AX197" s="37"/>
    </row>
    <row r="198" spans="1:50" ht="20.100000000000001" customHeight="1" x14ac:dyDescent="0.25">
      <c r="A198" s="37"/>
      <c r="B198" s="58"/>
      <c r="C198" s="37"/>
      <c r="D198" s="97"/>
      <c r="E198" s="98"/>
      <c r="F198" s="101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3"/>
      <c r="T198" s="83"/>
      <c r="U198" s="85"/>
      <c r="V198" s="83"/>
      <c r="W198" s="85"/>
      <c r="X198" s="97"/>
      <c r="Y198" s="100"/>
      <c r="Z198" s="100"/>
      <c r="AA198" s="100"/>
      <c r="AB198" s="100"/>
      <c r="AC198" s="100"/>
      <c r="AD198" s="98"/>
      <c r="AE198" s="83"/>
      <c r="AF198" s="84"/>
      <c r="AG198" s="85"/>
      <c r="AH198" s="83"/>
      <c r="AI198" s="84"/>
      <c r="AJ198" s="84"/>
      <c r="AK198" s="85"/>
      <c r="AL198" s="83"/>
      <c r="AM198" s="84"/>
      <c r="AN198" s="85"/>
      <c r="AO198" s="60"/>
      <c r="AP198" s="61"/>
      <c r="AQ198" s="78">
        <f t="shared" si="4"/>
        <v>0</v>
      </c>
      <c r="AR198" s="37"/>
      <c r="AS198" s="78">
        <f t="shared" si="5"/>
        <v>0</v>
      </c>
      <c r="AT198" s="37"/>
      <c r="AU198" s="37"/>
      <c r="AV198" s="37"/>
      <c r="AW198" s="37"/>
      <c r="AX198" s="37"/>
    </row>
    <row r="199" spans="1:50" ht="20.100000000000001" customHeight="1" x14ac:dyDescent="0.25">
      <c r="A199" s="37"/>
      <c r="B199" s="58"/>
      <c r="C199" s="37"/>
      <c r="D199" s="97"/>
      <c r="E199" s="98"/>
      <c r="F199" s="101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3"/>
      <c r="T199" s="83"/>
      <c r="U199" s="85"/>
      <c r="V199" s="83"/>
      <c r="W199" s="85"/>
      <c r="X199" s="97"/>
      <c r="Y199" s="100"/>
      <c r="Z199" s="100"/>
      <c r="AA199" s="100"/>
      <c r="AB199" s="100"/>
      <c r="AC199" s="100"/>
      <c r="AD199" s="98"/>
      <c r="AE199" s="83"/>
      <c r="AF199" s="84"/>
      <c r="AG199" s="85"/>
      <c r="AH199" s="83"/>
      <c r="AI199" s="84"/>
      <c r="AJ199" s="84"/>
      <c r="AK199" s="85"/>
      <c r="AL199" s="83"/>
      <c r="AM199" s="84"/>
      <c r="AN199" s="85"/>
      <c r="AO199" s="60"/>
      <c r="AP199" s="61"/>
      <c r="AQ199" s="78">
        <f t="shared" ref="AQ199:AQ250" si="6">AP199-B199</f>
        <v>0</v>
      </c>
      <c r="AR199" s="37"/>
      <c r="AS199" s="78">
        <f t="shared" ref="AS199:AS262" si="7">AP199-AR199</f>
        <v>0</v>
      </c>
      <c r="AT199" s="37"/>
      <c r="AU199" s="37"/>
      <c r="AV199" s="37"/>
      <c r="AW199" s="37"/>
      <c r="AX199" s="37"/>
    </row>
    <row r="200" spans="1:50" ht="20.100000000000001" customHeight="1" x14ac:dyDescent="0.25">
      <c r="A200" s="37"/>
      <c r="B200" s="58"/>
      <c r="C200" s="37"/>
      <c r="D200" s="97"/>
      <c r="E200" s="98"/>
      <c r="F200" s="101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3"/>
      <c r="T200" s="83"/>
      <c r="U200" s="85"/>
      <c r="V200" s="83"/>
      <c r="W200" s="85"/>
      <c r="X200" s="97"/>
      <c r="Y200" s="100"/>
      <c r="Z200" s="100"/>
      <c r="AA200" s="100"/>
      <c r="AB200" s="100"/>
      <c r="AC200" s="100"/>
      <c r="AD200" s="98"/>
      <c r="AE200" s="83"/>
      <c r="AF200" s="84"/>
      <c r="AG200" s="85"/>
      <c r="AH200" s="83"/>
      <c r="AI200" s="84"/>
      <c r="AJ200" s="84"/>
      <c r="AK200" s="85"/>
      <c r="AL200" s="83"/>
      <c r="AM200" s="84"/>
      <c r="AN200" s="85"/>
      <c r="AO200" s="60"/>
      <c r="AP200" s="61"/>
      <c r="AQ200" s="78">
        <f t="shared" si="6"/>
        <v>0</v>
      </c>
      <c r="AR200" s="37"/>
      <c r="AS200" s="78">
        <f t="shared" si="7"/>
        <v>0</v>
      </c>
      <c r="AT200" s="37"/>
      <c r="AU200" s="37"/>
      <c r="AV200" s="37"/>
      <c r="AW200" s="37"/>
      <c r="AX200" s="37"/>
    </row>
    <row r="201" spans="1:50" ht="20.100000000000001" customHeight="1" x14ac:dyDescent="0.25">
      <c r="A201" s="37"/>
      <c r="B201" s="58"/>
      <c r="C201" s="37"/>
      <c r="D201" s="97"/>
      <c r="E201" s="98"/>
      <c r="F201" s="101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3"/>
      <c r="T201" s="83"/>
      <c r="U201" s="85"/>
      <c r="V201" s="83"/>
      <c r="W201" s="85"/>
      <c r="X201" s="97"/>
      <c r="Y201" s="100"/>
      <c r="Z201" s="100"/>
      <c r="AA201" s="100"/>
      <c r="AB201" s="100"/>
      <c r="AC201" s="100"/>
      <c r="AD201" s="98"/>
      <c r="AE201" s="83"/>
      <c r="AF201" s="84"/>
      <c r="AG201" s="85"/>
      <c r="AH201" s="83"/>
      <c r="AI201" s="84"/>
      <c r="AJ201" s="84"/>
      <c r="AK201" s="85"/>
      <c r="AL201" s="83"/>
      <c r="AM201" s="84"/>
      <c r="AN201" s="85"/>
      <c r="AO201" s="60"/>
      <c r="AP201" s="61"/>
      <c r="AQ201" s="78">
        <f t="shared" si="6"/>
        <v>0</v>
      </c>
      <c r="AR201" s="37"/>
      <c r="AS201" s="78">
        <f t="shared" si="7"/>
        <v>0</v>
      </c>
      <c r="AT201" s="37"/>
      <c r="AU201" s="37"/>
      <c r="AV201" s="37"/>
      <c r="AW201" s="37"/>
      <c r="AX201" s="37"/>
    </row>
    <row r="202" spans="1:50" ht="20.100000000000001" customHeight="1" x14ac:dyDescent="0.25">
      <c r="A202" s="37"/>
      <c r="B202" s="58"/>
      <c r="C202" s="37"/>
      <c r="D202" s="97"/>
      <c r="E202" s="98"/>
      <c r="F202" s="101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3"/>
      <c r="T202" s="83"/>
      <c r="U202" s="85"/>
      <c r="V202" s="83"/>
      <c r="W202" s="85"/>
      <c r="X202" s="97"/>
      <c r="Y202" s="100"/>
      <c r="Z202" s="100"/>
      <c r="AA202" s="100"/>
      <c r="AB202" s="100"/>
      <c r="AC202" s="100"/>
      <c r="AD202" s="98"/>
      <c r="AE202" s="83"/>
      <c r="AF202" s="84"/>
      <c r="AG202" s="85"/>
      <c r="AH202" s="83"/>
      <c r="AI202" s="84"/>
      <c r="AJ202" s="84"/>
      <c r="AK202" s="85"/>
      <c r="AL202" s="83"/>
      <c r="AM202" s="84"/>
      <c r="AN202" s="85"/>
      <c r="AO202" s="60"/>
      <c r="AP202" s="61"/>
      <c r="AQ202" s="78">
        <f t="shared" si="6"/>
        <v>0</v>
      </c>
      <c r="AR202" s="37"/>
      <c r="AS202" s="78">
        <f t="shared" si="7"/>
        <v>0</v>
      </c>
      <c r="AT202" s="37"/>
      <c r="AU202" s="37"/>
      <c r="AV202" s="37"/>
      <c r="AW202" s="37"/>
      <c r="AX202" s="37"/>
    </row>
    <row r="203" spans="1:50" ht="20.100000000000001" customHeight="1" x14ac:dyDescent="0.25">
      <c r="A203" s="37"/>
      <c r="B203" s="58"/>
      <c r="C203" s="37"/>
      <c r="D203" s="97"/>
      <c r="E203" s="98"/>
      <c r="F203" s="101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3"/>
      <c r="T203" s="83"/>
      <c r="U203" s="85"/>
      <c r="V203" s="83"/>
      <c r="W203" s="85"/>
      <c r="X203" s="97"/>
      <c r="Y203" s="100"/>
      <c r="Z203" s="100"/>
      <c r="AA203" s="100"/>
      <c r="AB203" s="100"/>
      <c r="AC203" s="100"/>
      <c r="AD203" s="98"/>
      <c r="AE203" s="83"/>
      <c r="AF203" s="84"/>
      <c r="AG203" s="85"/>
      <c r="AH203" s="83"/>
      <c r="AI203" s="84"/>
      <c r="AJ203" s="84"/>
      <c r="AK203" s="85"/>
      <c r="AL203" s="83"/>
      <c r="AM203" s="84"/>
      <c r="AN203" s="85"/>
      <c r="AO203" s="60"/>
      <c r="AP203" s="61"/>
      <c r="AQ203" s="78">
        <f t="shared" si="6"/>
        <v>0</v>
      </c>
      <c r="AR203" s="37"/>
      <c r="AS203" s="78">
        <f t="shared" si="7"/>
        <v>0</v>
      </c>
      <c r="AT203" s="37"/>
      <c r="AU203" s="37"/>
      <c r="AV203" s="37"/>
      <c r="AW203" s="37"/>
      <c r="AX203" s="37"/>
    </row>
    <row r="204" spans="1:50" ht="20.100000000000001" customHeight="1" x14ac:dyDescent="0.25">
      <c r="A204" s="37"/>
      <c r="B204" s="58"/>
      <c r="C204" s="37"/>
      <c r="D204" s="97"/>
      <c r="E204" s="98"/>
      <c r="F204" s="101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3"/>
      <c r="T204" s="83"/>
      <c r="U204" s="85"/>
      <c r="V204" s="83"/>
      <c r="W204" s="85"/>
      <c r="X204" s="97"/>
      <c r="Y204" s="100"/>
      <c r="Z204" s="100"/>
      <c r="AA204" s="100"/>
      <c r="AB204" s="100"/>
      <c r="AC204" s="100"/>
      <c r="AD204" s="98"/>
      <c r="AE204" s="83"/>
      <c r="AF204" s="84"/>
      <c r="AG204" s="85"/>
      <c r="AH204" s="83"/>
      <c r="AI204" s="84"/>
      <c r="AJ204" s="84"/>
      <c r="AK204" s="85"/>
      <c r="AL204" s="83"/>
      <c r="AM204" s="84"/>
      <c r="AN204" s="85"/>
      <c r="AO204" s="60"/>
      <c r="AP204" s="61"/>
      <c r="AQ204" s="78">
        <f t="shared" si="6"/>
        <v>0</v>
      </c>
      <c r="AR204" s="37"/>
      <c r="AS204" s="78">
        <f t="shared" si="7"/>
        <v>0</v>
      </c>
      <c r="AT204" s="37"/>
      <c r="AU204" s="37"/>
      <c r="AV204" s="37"/>
      <c r="AW204" s="37"/>
      <c r="AX204" s="37"/>
    </row>
    <row r="205" spans="1:50" ht="20.100000000000001" customHeight="1" x14ac:dyDescent="0.25">
      <c r="A205" s="37"/>
      <c r="B205" s="58"/>
      <c r="C205" s="37"/>
      <c r="D205" s="97"/>
      <c r="E205" s="98"/>
      <c r="F205" s="101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3"/>
      <c r="T205" s="83"/>
      <c r="U205" s="85"/>
      <c r="V205" s="83"/>
      <c r="W205" s="85"/>
      <c r="X205" s="97"/>
      <c r="Y205" s="100"/>
      <c r="Z205" s="100"/>
      <c r="AA205" s="100"/>
      <c r="AB205" s="100"/>
      <c r="AC205" s="100"/>
      <c r="AD205" s="98"/>
      <c r="AE205" s="83"/>
      <c r="AF205" s="84"/>
      <c r="AG205" s="85"/>
      <c r="AH205" s="83"/>
      <c r="AI205" s="84"/>
      <c r="AJ205" s="84"/>
      <c r="AK205" s="85"/>
      <c r="AL205" s="83"/>
      <c r="AM205" s="84"/>
      <c r="AN205" s="85"/>
      <c r="AO205" s="60"/>
      <c r="AP205" s="61"/>
      <c r="AQ205" s="78">
        <f t="shared" si="6"/>
        <v>0</v>
      </c>
      <c r="AR205" s="37"/>
      <c r="AS205" s="78">
        <f t="shared" si="7"/>
        <v>0</v>
      </c>
      <c r="AT205" s="37"/>
      <c r="AU205" s="37"/>
      <c r="AV205" s="37"/>
      <c r="AW205" s="37"/>
      <c r="AX205" s="37"/>
    </row>
    <row r="206" spans="1:50" ht="20.100000000000001" customHeight="1" x14ac:dyDescent="0.25">
      <c r="A206" s="37"/>
      <c r="B206" s="58"/>
      <c r="C206" s="37"/>
      <c r="D206" s="97"/>
      <c r="E206" s="98"/>
      <c r="F206" s="101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3"/>
      <c r="T206" s="83"/>
      <c r="U206" s="85"/>
      <c r="V206" s="83"/>
      <c r="W206" s="85"/>
      <c r="X206" s="97"/>
      <c r="Y206" s="100"/>
      <c r="Z206" s="100"/>
      <c r="AA206" s="100"/>
      <c r="AB206" s="100"/>
      <c r="AC206" s="100"/>
      <c r="AD206" s="98"/>
      <c r="AE206" s="83"/>
      <c r="AF206" s="84"/>
      <c r="AG206" s="85"/>
      <c r="AH206" s="83"/>
      <c r="AI206" s="84"/>
      <c r="AJ206" s="84"/>
      <c r="AK206" s="85"/>
      <c r="AL206" s="83"/>
      <c r="AM206" s="84"/>
      <c r="AN206" s="85"/>
      <c r="AO206" s="60"/>
      <c r="AP206" s="61"/>
      <c r="AQ206" s="78">
        <f t="shared" si="6"/>
        <v>0</v>
      </c>
      <c r="AR206" s="37"/>
      <c r="AS206" s="78">
        <f t="shared" si="7"/>
        <v>0</v>
      </c>
      <c r="AT206" s="37"/>
      <c r="AU206" s="37"/>
      <c r="AV206" s="37"/>
      <c r="AW206" s="37"/>
      <c r="AX206" s="37"/>
    </row>
    <row r="207" spans="1:50" ht="20.100000000000001" customHeight="1" x14ac:dyDescent="0.25">
      <c r="A207" s="37"/>
      <c r="B207" s="58"/>
      <c r="C207" s="37"/>
      <c r="D207" s="97"/>
      <c r="E207" s="98"/>
      <c r="F207" s="101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3"/>
      <c r="T207" s="83"/>
      <c r="U207" s="85"/>
      <c r="V207" s="83"/>
      <c r="W207" s="85"/>
      <c r="X207" s="97"/>
      <c r="Y207" s="100"/>
      <c r="Z207" s="100"/>
      <c r="AA207" s="100"/>
      <c r="AB207" s="100"/>
      <c r="AC207" s="100"/>
      <c r="AD207" s="98"/>
      <c r="AE207" s="83"/>
      <c r="AF207" s="84"/>
      <c r="AG207" s="85"/>
      <c r="AH207" s="83"/>
      <c r="AI207" s="84"/>
      <c r="AJ207" s="84"/>
      <c r="AK207" s="85"/>
      <c r="AL207" s="83"/>
      <c r="AM207" s="84"/>
      <c r="AN207" s="85"/>
      <c r="AO207" s="60"/>
      <c r="AP207" s="61"/>
      <c r="AQ207" s="78">
        <f t="shared" si="6"/>
        <v>0</v>
      </c>
      <c r="AR207" s="37"/>
      <c r="AS207" s="78">
        <f t="shared" si="7"/>
        <v>0</v>
      </c>
      <c r="AT207" s="37"/>
      <c r="AU207" s="37"/>
      <c r="AV207" s="37"/>
      <c r="AW207" s="37"/>
      <c r="AX207" s="37"/>
    </row>
    <row r="208" spans="1:50" ht="20.100000000000001" customHeight="1" x14ac:dyDescent="0.25">
      <c r="A208" s="37"/>
      <c r="B208" s="58"/>
      <c r="C208" s="37"/>
      <c r="D208" s="97"/>
      <c r="E208" s="98"/>
      <c r="F208" s="101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3"/>
      <c r="T208" s="83"/>
      <c r="U208" s="85"/>
      <c r="V208" s="83"/>
      <c r="W208" s="85"/>
      <c r="X208" s="97"/>
      <c r="Y208" s="100"/>
      <c r="Z208" s="100"/>
      <c r="AA208" s="100"/>
      <c r="AB208" s="100"/>
      <c r="AC208" s="100"/>
      <c r="AD208" s="98"/>
      <c r="AE208" s="83"/>
      <c r="AF208" s="84"/>
      <c r="AG208" s="85"/>
      <c r="AH208" s="83"/>
      <c r="AI208" s="84"/>
      <c r="AJ208" s="84"/>
      <c r="AK208" s="85"/>
      <c r="AL208" s="83"/>
      <c r="AM208" s="84"/>
      <c r="AN208" s="85"/>
      <c r="AO208" s="60"/>
      <c r="AP208" s="61"/>
      <c r="AQ208" s="78">
        <f t="shared" si="6"/>
        <v>0</v>
      </c>
      <c r="AR208" s="37"/>
      <c r="AS208" s="78">
        <f t="shared" si="7"/>
        <v>0</v>
      </c>
      <c r="AT208" s="37"/>
      <c r="AU208" s="37"/>
      <c r="AV208" s="37"/>
      <c r="AW208" s="37"/>
      <c r="AX208" s="37"/>
    </row>
    <row r="209" spans="1:50" ht="20.100000000000001" customHeight="1" x14ac:dyDescent="0.25">
      <c r="A209" s="37"/>
      <c r="B209" s="58"/>
      <c r="C209" s="37"/>
      <c r="D209" s="97"/>
      <c r="E209" s="98"/>
      <c r="F209" s="101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3"/>
      <c r="T209" s="83"/>
      <c r="U209" s="85"/>
      <c r="V209" s="83"/>
      <c r="W209" s="85"/>
      <c r="X209" s="97"/>
      <c r="Y209" s="100"/>
      <c r="Z209" s="100"/>
      <c r="AA209" s="100"/>
      <c r="AB209" s="100"/>
      <c r="AC209" s="100"/>
      <c r="AD209" s="98"/>
      <c r="AE209" s="83"/>
      <c r="AF209" s="84"/>
      <c r="AG209" s="85"/>
      <c r="AH209" s="83"/>
      <c r="AI209" s="84"/>
      <c r="AJ209" s="84"/>
      <c r="AK209" s="85"/>
      <c r="AL209" s="83"/>
      <c r="AM209" s="84"/>
      <c r="AN209" s="85"/>
      <c r="AO209" s="60"/>
      <c r="AP209" s="61"/>
      <c r="AQ209" s="78">
        <f t="shared" si="6"/>
        <v>0</v>
      </c>
      <c r="AR209" s="37"/>
      <c r="AS209" s="78">
        <f t="shared" si="7"/>
        <v>0</v>
      </c>
      <c r="AT209" s="37"/>
      <c r="AU209" s="37"/>
      <c r="AV209" s="37"/>
      <c r="AW209" s="37"/>
      <c r="AX209" s="37"/>
    </row>
    <row r="210" spans="1:50" ht="20.100000000000001" customHeight="1" x14ac:dyDescent="0.25">
      <c r="A210" s="37"/>
      <c r="B210" s="58"/>
      <c r="C210" s="37"/>
      <c r="D210" s="97"/>
      <c r="E210" s="98"/>
      <c r="F210" s="101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3"/>
      <c r="T210" s="83"/>
      <c r="U210" s="85"/>
      <c r="V210" s="83"/>
      <c r="W210" s="85"/>
      <c r="X210" s="97"/>
      <c r="Y210" s="100"/>
      <c r="Z210" s="100"/>
      <c r="AA210" s="100"/>
      <c r="AB210" s="100"/>
      <c r="AC210" s="100"/>
      <c r="AD210" s="98"/>
      <c r="AE210" s="83"/>
      <c r="AF210" s="84"/>
      <c r="AG210" s="85"/>
      <c r="AH210" s="83"/>
      <c r="AI210" s="84"/>
      <c r="AJ210" s="84"/>
      <c r="AK210" s="85"/>
      <c r="AL210" s="83"/>
      <c r="AM210" s="84"/>
      <c r="AN210" s="85"/>
      <c r="AO210" s="60"/>
      <c r="AP210" s="61"/>
      <c r="AQ210" s="78">
        <f t="shared" si="6"/>
        <v>0</v>
      </c>
      <c r="AR210" s="37"/>
      <c r="AS210" s="78">
        <f t="shared" si="7"/>
        <v>0</v>
      </c>
      <c r="AT210" s="37"/>
      <c r="AU210" s="37"/>
      <c r="AV210" s="37"/>
      <c r="AW210" s="37"/>
      <c r="AX210" s="37"/>
    </row>
    <row r="211" spans="1:50" ht="20.100000000000001" customHeight="1" x14ac:dyDescent="0.25">
      <c r="A211" s="37"/>
      <c r="B211" s="58"/>
      <c r="C211" s="37"/>
      <c r="D211" s="97"/>
      <c r="E211" s="98"/>
      <c r="F211" s="101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3"/>
      <c r="T211" s="83"/>
      <c r="U211" s="85"/>
      <c r="V211" s="83"/>
      <c r="W211" s="85"/>
      <c r="X211" s="97"/>
      <c r="Y211" s="100"/>
      <c r="Z211" s="100"/>
      <c r="AA211" s="100"/>
      <c r="AB211" s="100"/>
      <c r="AC211" s="100"/>
      <c r="AD211" s="98"/>
      <c r="AE211" s="83"/>
      <c r="AF211" s="84"/>
      <c r="AG211" s="85"/>
      <c r="AH211" s="83"/>
      <c r="AI211" s="84"/>
      <c r="AJ211" s="84"/>
      <c r="AK211" s="85"/>
      <c r="AL211" s="83"/>
      <c r="AM211" s="84"/>
      <c r="AN211" s="85"/>
      <c r="AO211" s="60"/>
      <c r="AP211" s="61"/>
      <c r="AQ211" s="78">
        <f t="shared" si="6"/>
        <v>0</v>
      </c>
      <c r="AR211" s="37"/>
      <c r="AS211" s="78">
        <f t="shared" si="7"/>
        <v>0</v>
      </c>
      <c r="AT211" s="37"/>
      <c r="AU211" s="37"/>
      <c r="AV211" s="37"/>
      <c r="AW211" s="37"/>
      <c r="AX211" s="37"/>
    </row>
    <row r="212" spans="1:50" ht="20.100000000000001" customHeight="1" x14ac:dyDescent="0.25">
      <c r="A212" s="37"/>
      <c r="B212" s="58"/>
      <c r="C212" s="37"/>
      <c r="D212" s="97"/>
      <c r="E212" s="98"/>
      <c r="F212" s="101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3"/>
      <c r="T212" s="83"/>
      <c r="U212" s="85"/>
      <c r="V212" s="83"/>
      <c r="W212" s="85"/>
      <c r="X212" s="97"/>
      <c r="Y212" s="100"/>
      <c r="Z212" s="100"/>
      <c r="AA212" s="100"/>
      <c r="AB212" s="100"/>
      <c r="AC212" s="100"/>
      <c r="AD212" s="98"/>
      <c r="AE212" s="83"/>
      <c r="AF212" s="84"/>
      <c r="AG212" s="85"/>
      <c r="AH212" s="83"/>
      <c r="AI212" s="84"/>
      <c r="AJ212" s="84"/>
      <c r="AK212" s="85"/>
      <c r="AL212" s="83"/>
      <c r="AM212" s="84"/>
      <c r="AN212" s="85"/>
      <c r="AO212" s="60"/>
      <c r="AP212" s="61"/>
      <c r="AQ212" s="78">
        <f t="shared" si="6"/>
        <v>0</v>
      </c>
      <c r="AR212" s="37"/>
      <c r="AS212" s="78">
        <f t="shared" si="7"/>
        <v>0</v>
      </c>
      <c r="AT212" s="37"/>
      <c r="AU212" s="37"/>
      <c r="AV212" s="37"/>
      <c r="AW212" s="37"/>
      <c r="AX212" s="37"/>
    </row>
    <row r="213" spans="1:50" ht="20.100000000000001" customHeight="1" x14ac:dyDescent="0.25">
      <c r="A213" s="37"/>
      <c r="B213" s="58"/>
      <c r="C213" s="37"/>
      <c r="D213" s="97"/>
      <c r="E213" s="98"/>
      <c r="F213" s="101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3"/>
      <c r="T213" s="83"/>
      <c r="U213" s="85"/>
      <c r="V213" s="83"/>
      <c r="W213" s="85"/>
      <c r="X213" s="97"/>
      <c r="Y213" s="100"/>
      <c r="Z213" s="100"/>
      <c r="AA213" s="100"/>
      <c r="AB213" s="100"/>
      <c r="AC213" s="100"/>
      <c r="AD213" s="98"/>
      <c r="AE213" s="83"/>
      <c r="AF213" s="84"/>
      <c r="AG213" s="85"/>
      <c r="AH213" s="83"/>
      <c r="AI213" s="84"/>
      <c r="AJ213" s="84"/>
      <c r="AK213" s="85"/>
      <c r="AL213" s="83"/>
      <c r="AM213" s="84"/>
      <c r="AN213" s="85"/>
      <c r="AO213" s="60"/>
      <c r="AP213" s="61"/>
      <c r="AQ213" s="78">
        <f t="shared" si="6"/>
        <v>0</v>
      </c>
      <c r="AR213" s="37"/>
      <c r="AS213" s="78">
        <f t="shared" si="7"/>
        <v>0</v>
      </c>
      <c r="AT213" s="37"/>
      <c r="AU213" s="37"/>
      <c r="AV213" s="37"/>
      <c r="AW213" s="37"/>
      <c r="AX213" s="37"/>
    </row>
    <row r="214" spans="1:50" ht="20.100000000000001" customHeight="1" x14ac:dyDescent="0.25">
      <c r="A214" s="37"/>
      <c r="B214" s="58"/>
      <c r="C214" s="37"/>
      <c r="D214" s="97"/>
      <c r="E214" s="98"/>
      <c r="F214" s="101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3"/>
      <c r="T214" s="83"/>
      <c r="U214" s="85"/>
      <c r="V214" s="83"/>
      <c r="W214" s="85"/>
      <c r="X214" s="97"/>
      <c r="Y214" s="100"/>
      <c r="Z214" s="100"/>
      <c r="AA214" s="100"/>
      <c r="AB214" s="100"/>
      <c r="AC214" s="100"/>
      <c r="AD214" s="98"/>
      <c r="AE214" s="83"/>
      <c r="AF214" s="84"/>
      <c r="AG214" s="85"/>
      <c r="AH214" s="83"/>
      <c r="AI214" s="84"/>
      <c r="AJ214" s="84"/>
      <c r="AK214" s="85"/>
      <c r="AL214" s="83"/>
      <c r="AM214" s="84"/>
      <c r="AN214" s="85"/>
      <c r="AO214" s="60"/>
      <c r="AP214" s="61"/>
      <c r="AQ214" s="78">
        <f t="shared" si="6"/>
        <v>0</v>
      </c>
      <c r="AR214" s="37"/>
      <c r="AS214" s="78">
        <f t="shared" si="7"/>
        <v>0</v>
      </c>
      <c r="AT214" s="37"/>
      <c r="AU214" s="37"/>
      <c r="AV214" s="37"/>
      <c r="AW214" s="37"/>
      <c r="AX214" s="37"/>
    </row>
    <row r="215" spans="1:50" ht="20.100000000000001" customHeight="1" x14ac:dyDescent="0.25">
      <c r="A215" s="37"/>
      <c r="B215" s="58"/>
      <c r="C215" s="37"/>
      <c r="D215" s="97"/>
      <c r="E215" s="98"/>
      <c r="F215" s="101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3"/>
      <c r="T215" s="83"/>
      <c r="U215" s="85"/>
      <c r="V215" s="83"/>
      <c r="W215" s="85"/>
      <c r="X215" s="97"/>
      <c r="Y215" s="100"/>
      <c r="Z215" s="100"/>
      <c r="AA215" s="100"/>
      <c r="AB215" s="100"/>
      <c r="AC215" s="100"/>
      <c r="AD215" s="98"/>
      <c r="AE215" s="83"/>
      <c r="AF215" s="84"/>
      <c r="AG215" s="85"/>
      <c r="AH215" s="83"/>
      <c r="AI215" s="84"/>
      <c r="AJ215" s="84"/>
      <c r="AK215" s="85"/>
      <c r="AL215" s="83"/>
      <c r="AM215" s="84"/>
      <c r="AN215" s="85"/>
      <c r="AO215" s="60"/>
      <c r="AP215" s="61"/>
      <c r="AQ215" s="78">
        <f t="shared" si="6"/>
        <v>0</v>
      </c>
      <c r="AR215" s="37"/>
      <c r="AS215" s="78">
        <f t="shared" si="7"/>
        <v>0</v>
      </c>
      <c r="AT215" s="37"/>
      <c r="AU215" s="37"/>
      <c r="AV215" s="37"/>
      <c r="AW215" s="37"/>
      <c r="AX215" s="37"/>
    </row>
    <row r="216" spans="1:50" ht="20.100000000000001" customHeight="1" x14ac:dyDescent="0.25">
      <c r="A216" s="37"/>
      <c r="B216" s="58"/>
      <c r="C216" s="37"/>
      <c r="D216" s="97"/>
      <c r="E216" s="98"/>
      <c r="F216" s="101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3"/>
      <c r="T216" s="83"/>
      <c r="U216" s="85"/>
      <c r="V216" s="83"/>
      <c r="W216" s="85"/>
      <c r="X216" s="97"/>
      <c r="Y216" s="100"/>
      <c r="Z216" s="100"/>
      <c r="AA216" s="100"/>
      <c r="AB216" s="100"/>
      <c r="AC216" s="100"/>
      <c r="AD216" s="98"/>
      <c r="AE216" s="83"/>
      <c r="AF216" s="84"/>
      <c r="AG216" s="85"/>
      <c r="AH216" s="83"/>
      <c r="AI216" s="84"/>
      <c r="AJ216" s="84"/>
      <c r="AK216" s="85"/>
      <c r="AL216" s="83"/>
      <c r="AM216" s="84"/>
      <c r="AN216" s="85"/>
      <c r="AO216" s="60"/>
      <c r="AP216" s="61"/>
      <c r="AQ216" s="78">
        <f t="shared" si="6"/>
        <v>0</v>
      </c>
      <c r="AR216" s="37"/>
      <c r="AS216" s="78">
        <f t="shared" si="7"/>
        <v>0</v>
      </c>
      <c r="AT216" s="37"/>
      <c r="AU216" s="37"/>
      <c r="AV216" s="37"/>
      <c r="AW216" s="37"/>
      <c r="AX216" s="37"/>
    </row>
    <row r="217" spans="1:50" ht="20.100000000000001" customHeight="1" x14ac:dyDescent="0.25">
      <c r="A217" s="37"/>
      <c r="B217" s="58"/>
      <c r="C217" s="37"/>
      <c r="D217" s="97"/>
      <c r="E217" s="98"/>
      <c r="F217" s="101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3"/>
      <c r="T217" s="83"/>
      <c r="U217" s="85"/>
      <c r="V217" s="83"/>
      <c r="W217" s="85"/>
      <c r="X217" s="97"/>
      <c r="Y217" s="100"/>
      <c r="Z217" s="100"/>
      <c r="AA217" s="100"/>
      <c r="AB217" s="100"/>
      <c r="AC217" s="100"/>
      <c r="AD217" s="98"/>
      <c r="AE217" s="83"/>
      <c r="AF217" s="84"/>
      <c r="AG217" s="85"/>
      <c r="AH217" s="83"/>
      <c r="AI217" s="84"/>
      <c r="AJ217" s="84"/>
      <c r="AK217" s="85"/>
      <c r="AL217" s="83"/>
      <c r="AM217" s="84"/>
      <c r="AN217" s="85"/>
      <c r="AO217" s="60"/>
      <c r="AP217" s="61"/>
      <c r="AQ217" s="78">
        <f t="shared" si="6"/>
        <v>0</v>
      </c>
      <c r="AR217" s="37"/>
      <c r="AS217" s="78">
        <f t="shared" si="7"/>
        <v>0</v>
      </c>
      <c r="AT217" s="37"/>
      <c r="AU217" s="37"/>
      <c r="AV217" s="37"/>
      <c r="AW217" s="37"/>
      <c r="AX217" s="37"/>
    </row>
    <row r="218" spans="1:50" ht="20.100000000000001" customHeight="1" x14ac:dyDescent="0.25">
      <c r="A218" s="37"/>
      <c r="B218" s="58"/>
      <c r="C218" s="37"/>
      <c r="D218" s="97"/>
      <c r="E218" s="98"/>
      <c r="F218" s="101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3"/>
      <c r="T218" s="83"/>
      <c r="U218" s="85"/>
      <c r="V218" s="83"/>
      <c r="W218" s="85"/>
      <c r="X218" s="97"/>
      <c r="Y218" s="100"/>
      <c r="Z218" s="100"/>
      <c r="AA218" s="100"/>
      <c r="AB218" s="100"/>
      <c r="AC218" s="100"/>
      <c r="AD218" s="98"/>
      <c r="AE218" s="83"/>
      <c r="AF218" s="84"/>
      <c r="AG218" s="85"/>
      <c r="AH218" s="83"/>
      <c r="AI218" s="84"/>
      <c r="AJ218" s="84"/>
      <c r="AK218" s="85"/>
      <c r="AL218" s="83"/>
      <c r="AM218" s="84"/>
      <c r="AN218" s="85"/>
      <c r="AO218" s="60"/>
      <c r="AP218" s="61"/>
      <c r="AQ218" s="78">
        <f t="shared" si="6"/>
        <v>0</v>
      </c>
      <c r="AR218" s="37"/>
      <c r="AS218" s="78">
        <f t="shared" si="7"/>
        <v>0</v>
      </c>
      <c r="AT218" s="37"/>
      <c r="AU218" s="37"/>
      <c r="AV218" s="37"/>
      <c r="AW218" s="37"/>
      <c r="AX218" s="37"/>
    </row>
    <row r="219" spans="1:50" ht="20.100000000000001" customHeight="1" x14ac:dyDescent="0.25">
      <c r="A219" s="37"/>
      <c r="B219" s="58"/>
      <c r="C219" s="37"/>
      <c r="D219" s="97"/>
      <c r="E219" s="98"/>
      <c r="F219" s="101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3"/>
      <c r="T219" s="83"/>
      <c r="U219" s="85"/>
      <c r="V219" s="83"/>
      <c r="W219" s="85"/>
      <c r="X219" s="97"/>
      <c r="Y219" s="100"/>
      <c r="Z219" s="100"/>
      <c r="AA219" s="100"/>
      <c r="AB219" s="100"/>
      <c r="AC219" s="100"/>
      <c r="AD219" s="98"/>
      <c r="AE219" s="83"/>
      <c r="AF219" s="84"/>
      <c r="AG219" s="85"/>
      <c r="AH219" s="83"/>
      <c r="AI219" s="84"/>
      <c r="AJ219" s="84"/>
      <c r="AK219" s="85"/>
      <c r="AL219" s="83"/>
      <c r="AM219" s="84"/>
      <c r="AN219" s="85"/>
      <c r="AO219" s="60"/>
      <c r="AP219" s="61"/>
      <c r="AQ219" s="78">
        <f t="shared" si="6"/>
        <v>0</v>
      </c>
      <c r="AR219" s="37"/>
      <c r="AS219" s="78">
        <f t="shared" si="7"/>
        <v>0</v>
      </c>
      <c r="AT219" s="37"/>
      <c r="AU219" s="37"/>
      <c r="AV219" s="37"/>
      <c r="AW219" s="37"/>
      <c r="AX219" s="37"/>
    </row>
    <row r="220" spans="1:50" ht="20.100000000000001" customHeight="1" x14ac:dyDescent="0.25">
      <c r="A220" s="37"/>
      <c r="B220" s="58"/>
      <c r="C220" s="37"/>
      <c r="D220" s="97"/>
      <c r="E220" s="98"/>
      <c r="F220" s="101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3"/>
      <c r="T220" s="83"/>
      <c r="U220" s="85"/>
      <c r="V220" s="83"/>
      <c r="W220" s="85"/>
      <c r="X220" s="97"/>
      <c r="Y220" s="100"/>
      <c r="Z220" s="100"/>
      <c r="AA220" s="100"/>
      <c r="AB220" s="100"/>
      <c r="AC220" s="100"/>
      <c r="AD220" s="98"/>
      <c r="AE220" s="83"/>
      <c r="AF220" s="84"/>
      <c r="AG220" s="85"/>
      <c r="AH220" s="83"/>
      <c r="AI220" s="84"/>
      <c r="AJ220" s="84"/>
      <c r="AK220" s="85"/>
      <c r="AL220" s="83"/>
      <c r="AM220" s="84"/>
      <c r="AN220" s="85"/>
      <c r="AO220" s="60"/>
      <c r="AP220" s="61"/>
      <c r="AQ220" s="78">
        <f t="shared" si="6"/>
        <v>0</v>
      </c>
      <c r="AR220" s="37"/>
      <c r="AS220" s="78">
        <f t="shared" si="7"/>
        <v>0</v>
      </c>
      <c r="AT220" s="37"/>
      <c r="AU220" s="37"/>
      <c r="AV220" s="37"/>
      <c r="AW220" s="37"/>
      <c r="AX220" s="37"/>
    </row>
    <row r="221" spans="1:50" ht="20.100000000000001" customHeight="1" x14ac:dyDescent="0.25">
      <c r="A221" s="37"/>
      <c r="B221" s="58"/>
      <c r="C221" s="37"/>
      <c r="D221" s="97"/>
      <c r="E221" s="98"/>
      <c r="F221" s="101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3"/>
      <c r="T221" s="83"/>
      <c r="U221" s="85"/>
      <c r="V221" s="83"/>
      <c r="W221" s="85"/>
      <c r="X221" s="97"/>
      <c r="Y221" s="100"/>
      <c r="Z221" s="100"/>
      <c r="AA221" s="100"/>
      <c r="AB221" s="100"/>
      <c r="AC221" s="100"/>
      <c r="AD221" s="98"/>
      <c r="AE221" s="83"/>
      <c r="AF221" s="84"/>
      <c r="AG221" s="85"/>
      <c r="AH221" s="83"/>
      <c r="AI221" s="84"/>
      <c r="AJ221" s="84"/>
      <c r="AK221" s="85"/>
      <c r="AL221" s="83"/>
      <c r="AM221" s="84"/>
      <c r="AN221" s="85"/>
      <c r="AO221" s="60"/>
      <c r="AP221" s="61"/>
      <c r="AQ221" s="78">
        <f t="shared" si="6"/>
        <v>0</v>
      </c>
      <c r="AR221" s="37"/>
      <c r="AS221" s="78">
        <f t="shared" si="7"/>
        <v>0</v>
      </c>
      <c r="AT221" s="37"/>
      <c r="AU221" s="37"/>
      <c r="AV221" s="37"/>
      <c r="AW221" s="37"/>
      <c r="AX221" s="37"/>
    </row>
    <row r="222" spans="1:50" ht="20.100000000000001" customHeight="1" x14ac:dyDescent="0.25">
      <c r="A222" s="37"/>
      <c r="B222" s="58"/>
      <c r="C222" s="37"/>
      <c r="D222" s="97"/>
      <c r="E222" s="98"/>
      <c r="F222" s="101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3"/>
      <c r="T222" s="83"/>
      <c r="U222" s="85"/>
      <c r="V222" s="83"/>
      <c r="W222" s="85"/>
      <c r="X222" s="97"/>
      <c r="Y222" s="100"/>
      <c r="Z222" s="100"/>
      <c r="AA222" s="100"/>
      <c r="AB222" s="100"/>
      <c r="AC222" s="100"/>
      <c r="AD222" s="98"/>
      <c r="AE222" s="83"/>
      <c r="AF222" s="84"/>
      <c r="AG222" s="85"/>
      <c r="AH222" s="83"/>
      <c r="AI222" s="84"/>
      <c r="AJ222" s="84"/>
      <c r="AK222" s="85"/>
      <c r="AL222" s="83"/>
      <c r="AM222" s="84"/>
      <c r="AN222" s="85"/>
      <c r="AO222" s="60"/>
      <c r="AP222" s="61"/>
      <c r="AQ222" s="78">
        <f t="shared" si="6"/>
        <v>0</v>
      </c>
      <c r="AR222" s="37"/>
      <c r="AS222" s="78">
        <f t="shared" si="7"/>
        <v>0</v>
      </c>
      <c r="AT222" s="37"/>
      <c r="AU222" s="37"/>
      <c r="AV222" s="37"/>
      <c r="AW222" s="37"/>
      <c r="AX222" s="37"/>
    </row>
    <row r="223" spans="1:50" ht="20.100000000000001" customHeight="1" x14ac:dyDescent="0.25">
      <c r="A223" s="37"/>
      <c r="B223" s="58"/>
      <c r="C223" s="37"/>
      <c r="D223" s="97"/>
      <c r="E223" s="98"/>
      <c r="F223" s="101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3"/>
      <c r="T223" s="83"/>
      <c r="U223" s="85"/>
      <c r="V223" s="83"/>
      <c r="W223" s="85"/>
      <c r="X223" s="97"/>
      <c r="Y223" s="100"/>
      <c r="Z223" s="100"/>
      <c r="AA223" s="100"/>
      <c r="AB223" s="100"/>
      <c r="AC223" s="100"/>
      <c r="AD223" s="98"/>
      <c r="AE223" s="83"/>
      <c r="AF223" s="84"/>
      <c r="AG223" s="85"/>
      <c r="AH223" s="83"/>
      <c r="AI223" s="84"/>
      <c r="AJ223" s="84"/>
      <c r="AK223" s="85"/>
      <c r="AL223" s="83"/>
      <c r="AM223" s="84"/>
      <c r="AN223" s="85"/>
      <c r="AO223" s="60"/>
      <c r="AP223" s="61"/>
      <c r="AQ223" s="78">
        <f t="shared" si="6"/>
        <v>0</v>
      </c>
      <c r="AR223" s="37"/>
      <c r="AS223" s="78">
        <f t="shared" si="7"/>
        <v>0</v>
      </c>
      <c r="AT223" s="37"/>
      <c r="AU223" s="37"/>
      <c r="AV223" s="37"/>
      <c r="AW223" s="37"/>
      <c r="AX223" s="37"/>
    </row>
    <row r="224" spans="1:50" ht="20.100000000000001" customHeight="1" x14ac:dyDescent="0.25">
      <c r="A224" s="37"/>
      <c r="B224" s="58"/>
      <c r="C224" s="37"/>
      <c r="D224" s="97"/>
      <c r="E224" s="98"/>
      <c r="F224" s="101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3"/>
      <c r="T224" s="83"/>
      <c r="U224" s="85"/>
      <c r="V224" s="83"/>
      <c r="W224" s="85"/>
      <c r="X224" s="97"/>
      <c r="Y224" s="100"/>
      <c r="Z224" s="100"/>
      <c r="AA224" s="100"/>
      <c r="AB224" s="100"/>
      <c r="AC224" s="100"/>
      <c r="AD224" s="98"/>
      <c r="AE224" s="83"/>
      <c r="AF224" s="84"/>
      <c r="AG224" s="85"/>
      <c r="AH224" s="83"/>
      <c r="AI224" s="84"/>
      <c r="AJ224" s="84"/>
      <c r="AK224" s="85"/>
      <c r="AL224" s="83"/>
      <c r="AM224" s="84"/>
      <c r="AN224" s="85"/>
      <c r="AO224" s="60"/>
      <c r="AP224" s="61"/>
      <c r="AQ224" s="78">
        <f t="shared" si="6"/>
        <v>0</v>
      </c>
      <c r="AR224" s="37"/>
      <c r="AS224" s="78">
        <f t="shared" si="7"/>
        <v>0</v>
      </c>
      <c r="AT224" s="37"/>
      <c r="AU224" s="37"/>
      <c r="AV224" s="37"/>
      <c r="AW224" s="37"/>
      <c r="AX224" s="37"/>
    </row>
    <row r="225" spans="1:50" ht="20.100000000000001" customHeight="1" x14ac:dyDescent="0.25">
      <c r="A225" s="37"/>
      <c r="B225" s="58"/>
      <c r="C225" s="37"/>
      <c r="D225" s="97"/>
      <c r="E225" s="98"/>
      <c r="F225" s="101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3"/>
      <c r="T225" s="83"/>
      <c r="U225" s="85"/>
      <c r="V225" s="83"/>
      <c r="W225" s="85"/>
      <c r="X225" s="97"/>
      <c r="Y225" s="100"/>
      <c r="Z225" s="100"/>
      <c r="AA225" s="100"/>
      <c r="AB225" s="100"/>
      <c r="AC225" s="100"/>
      <c r="AD225" s="98"/>
      <c r="AE225" s="83"/>
      <c r="AF225" s="84"/>
      <c r="AG225" s="85"/>
      <c r="AH225" s="83"/>
      <c r="AI225" s="84"/>
      <c r="AJ225" s="84"/>
      <c r="AK225" s="85"/>
      <c r="AL225" s="83"/>
      <c r="AM225" s="84"/>
      <c r="AN225" s="85"/>
      <c r="AO225" s="60"/>
      <c r="AP225" s="61"/>
      <c r="AQ225" s="78">
        <f t="shared" si="6"/>
        <v>0</v>
      </c>
      <c r="AR225" s="37"/>
      <c r="AS225" s="78">
        <f t="shared" si="7"/>
        <v>0</v>
      </c>
      <c r="AT225" s="37"/>
      <c r="AU225" s="37"/>
      <c r="AV225" s="37"/>
      <c r="AW225" s="37"/>
      <c r="AX225" s="37"/>
    </row>
    <row r="226" spans="1:50" ht="20.100000000000001" customHeight="1" x14ac:dyDescent="0.25">
      <c r="A226" s="37"/>
      <c r="B226" s="58"/>
      <c r="C226" s="37"/>
      <c r="D226" s="97"/>
      <c r="E226" s="98"/>
      <c r="F226" s="101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3"/>
      <c r="T226" s="83"/>
      <c r="U226" s="85"/>
      <c r="V226" s="83"/>
      <c r="W226" s="85"/>
      <c r="X226" s="97"/>
      <c r="Y226" s="100"/>
      <c r="Z226" s="100"/>
      <c r="AA226" s="100"/>
      <c r="AB226" s="100"/>
      <c r="AC226" s="100"/>
      <c r="AD226" s="98"/>
      <c r="AE226" s="83"/>
      <c r="AF226" s="84"/>
      <c r="AG226" s="85"/>
      <c r="AH226" s="83"/>
      <c r="AI226" s="84"/>
      <c r="AJ226" s="84"/>
      <c r="AK226" s="85"/>
      <c r="AL226" s="83"/>
      <c r="AM226" s="84"/>
      <c r="AN226" s="85"/>
      <c r="AO226" s="60"/>
      <c r="AP226" s="61"/>
      <c r="AQ226" s="78">
        <f t="shared" si="6"/>
        <v>0</v>
      </c>
      <c r="AR226" s="37"/>
      <c r="AS226" s="78">
        <f t="shared" si="7"/>
        <v>0</v>
      </c>
      <c r="AT226" s="37"/>
      <c r="AU226" s="37"/>
      <c r="AV226" s="37"/>
      <c r="AW226" s="37"/>
      <c r="AX226" s="37"/>
    </row>
    <row r="227" spans="1:50" ht="20.100000000000001" customHeight="1" x14ac:dyDescent="0.25">
      <c r="A227" s="37"/>
      <c r="B227" s="58"/>
      <c r="C227" s="37"/>
      <c r="D227" s="97"/>
      <c r="E227" s="98"/>
      <c r="F227" s="101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3"/>
      <c r="T227" s="83"/>
      <c r="U227" s="85"/>
      <c r="V227" s="83"/>
      <c r="W227" s="85"/>
      <c r="X227" s="97"/>
      <c r="Y227" s="100"/>
      <c r="Z227" s="100"/>
      <c r="AA227" s="100"/>
      <c r="AB227" s="100"/>
      <c r="AC227" s="100"/>
      <c r="AD227" s="98"/>
      <c r="AE227" s="83"/>
      <c r="AF227" s="84"/>
      <c r="AG227" s="85"/>
      <c r="AH227" s="83"/>
      <c r="AI227" s="84"/>
      <c r="AJ227" s="84"/>
      <c r="AK227" s="85"/>
      <c r="AL227" s="83"/>
      <c r="AM227" s="84"/>
      <c r="AN227" s="85"/>
      <c r="AO227" s="60"/>
      <c r="AP227" s="61"/>
      <c r="AQ227" s="78">
        <f t="shared" si="6"/>
        <v>0</v>
      </c>
      <c r="AR227" s="37"/>
      <c r="AS227" s="78">
        <f t="shared" si="7"/>
        <v>0</v>
      </c>
      <c r="AT227" s="37"/>
      <c r="AU227" s="37"/>
      <c r="AV227" s="37"/>
      <c r="AW227" s="37"/>
      <c r="AX227" s="37"/>
    </row>
    <row r="228" spans="1:50" ht="20.100000000000001" customHeight="1" x14ac:dyDescent="0.25">
      <c r="A228" s="37"/>
      <c r="B228" s="58"/>
      <c r="C228" s="37"/>
      <c r="D228" s="97"/>
      <c r="E228" s="98"/>
      <c r="F228" s="101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3"/>
      <c r="T228" s="83"/>
      <c r="U228" s="85"/>
      <c r="V228" s="83"/>
      <c r="W228" s="85"/>
      <c r="X228" s="97"/>
      <c r="Y228" s="100"/>
      <c r="Z228" s="100"/>
      <c r="AA228" s="100"/>
      <c r="AB228" s="100"/>
      <c r="AC228" s="100"/>
      <c r="AD228" s="98"/>
      <c r="AE228" s="83"/>
      <c r="AF228" s="84"/>
      <c r="AG228" s="85"/>
      <c r="AH228" s="83"/>
      <c r="AI228" s="84"/>
      <c r="AJ228" s="84"/>
      <c r="AK228" s="85"/>
      <c r="AL228" s="83"/>
      <c r="AM228" s="84"/>
      <c r="AN228" s="85"/>
      <c r="AO228" s="60"/>
      <c r="AP228" s="61"/>
      <c r="AQ228" s="78">
        <f t="shared" si="6"/>
        <v>0</v>
      </c>
      <c r="AR228" s="37"/>
      <c r="AS228" s="78">
        <f t="shared" si="7"/>
        <v>0</v>
      </c>
      <c r="AT228" s="37"/>
      <c r="AU228" s="37"/>
      <c r="AV228" s="37"/>
      <c r="AW228" s="37"/>
      <c r="AX228" s="37"/>
    </row>
    <row r="229" spans="1:50" ht="20.100000000000001" customHeight="1" x14ac:dyDescent="0.25">
      <c r="A229" s="37"/>
      <c r="B229" s="58"/>
      <c r="C229" s="37"/>
      <c r="D229" s="97"/>
      <c r="E229" s="98"/>
      <c r="F229" s="101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3"/>
      <c r="T229" s="83"/>
      <c r="U229" s="85"/>
      <c r="V229" s="83"/>
      <c r="W229" s="85"/>
      <c r="X229" s="97"/>
      <c r="Y229" s="100"/>
      <c r="Z229" s="100"/>
      <c r="AA229" s="100"/>
      <c r="AB229" s="100"/>
      <c r="AC229" s="100"/>
      <c r="AD229" s="98"/>
      <c r="AE229" s="83"/>
      <c r="AF229" s="84"/>
      <c r="AG229" s="85"/>
      <c r="AH229" s="83"/>
      <c r="AI229" s="84"/>
      <c r="AJ229" s="84"/>
      <c r="AK229" s="85"/>
      <c r="AL229" s="83"/>
      <c r="AM229" s="84"/>
      <c r="AN229" s="85"/>
      <c r="AO229" s="60"/>
      <c r="AP229" s="61"/>
      <c r="AQ229" s="78">
        <f t="shared" si="6"/>
        <v>0</v>
      </c>
      <c r="AR229" s="37"/>
      <c r="AS229" s="78">
        <f t="shared" si="7"/>
        <v>0</v>
      </c>
      <c r="AT229" s="37"/>
      <c r="AU229" s="37"/>
      <c r="AV229" s="37"/>
      <c r="AW229" s="37"/>
      <c r="AX229" s="37"/>
    </row>
    <row r="230" spans="1:50" ht="20.100000000000001" customHeight="1" x14ac:dyDescent="0.25">
      <c r="A230" s="37"/>
      <c r="B230" s="58"/>
      <c r="C230" s="37"/>
      <c r="D230" s="97"/>
      <c r="E230" s="98"/>
      <c r="F230" s="101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3"/>
      <c r="T230" s="83"/>
      <c r="U230" s="85"/>
      <c r="V230" s="83"/>
      <c r="W230" s="85"/>
      <c r="X230" s="97"/>
      <c r="Y230" s="100"/>
      <c r="Z230" s="100"/>
      <c r="AA230" s="100"/>
      <c r="AB230" s="100"/>
      <c r="AC230" s="100"/>
      <c r="AD230" s="98"/>
      <c r="AE230" s="83"/>
      <c r="AF230" s="84"/>
      <c r="AG230" s="85"/>
      <c r="AH230" s="83"/>
      <c r="AI230" s="84"/>
      <c r="AJ230" s="84"/>
      <c r="AK230" s="85"/>
      <c r="AL230" s="83"/>
      <c r="AM230" s="84"/>
      <c r="AN230" s="85"/>
      <c r="AO230" s="60"/>
      <c r="AP230" s="61"/>
      <c r="AQ230" s="78">
        <f t="shared" si="6"/>
        <v>0</v>
      </c>
      <c r="AR230" s="37"/>
      <c r="AS230" s="78">
        <f t="shared" si="7"/>
        <v>0</v>
      </c>
      <c r="AT230" s="37"/>
      <c r="AU230" s="37"/>
      <c r="AV230" s="37"/>
      <c r="AW230" s="37"/>
      <c r="AX230" s="37"/>
    </row>
    <row r="231" spans="1:50" ht="20.100000000000001" customHeight="1" x14ac:dyDescent="0.25">
      <c r="A231" s="37"/>
      <c r="B231" s="58"/>
      <c r="C231" s="37"/>
      <c r="D231" s="97"/>
      <c r="E231" s="98"/>
      <c r="F231" s="101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3"/>
      <c r="T231" s="83"/>
      <c r="U231" s="85"/>
      <c r="V231" s="83"/>
      <c r="W231" s="85"/>
      <c r="X231" s="97"/>
      <c r="Y231" s="100"/>
      <c r="Z231" s="100"/>
      <c r="AA231" s="100"/>
      <c r="AB231" s="100"/>
      <c r="AC231" s="100"/>
      <c r="AD231" s="98"/>
      <c r="AE231" s="83"/>
      <c r="AF231" s="84"/>
      <c r="AG231" s="85"/>
      <c r="AH231" s="83"/>
      <c r="AI231" s="84"/>
      <c r="AJ231" s="84"/>
      <c r="AK231" s="85"/>
      <c r="AL231" s="83"/>
      <c r="AM231" s="84"/>
      <c r="AN231" s="85"/>
      <c r="AO231" s="60"/>
      <c r="AP231" s="61"/>
      <c r="AQ231" s="78">
        <f t="shared" si="6"/>
        <v>0</v>
      </c>
      <c r="AR231" s="37"/>
      <c r="AS231" s="78">
        <f t="shared" si="7"/>
        <v>0</v>
      </c>
      <c r="AT231" s="37"/>
      <c r="AU231" s="37"/>
      <c r="AV231" s="37"/>
      <c r="AW231" s="37"/>
      <c r="AX231" s="37"/>
    </row>
    <row r="232" spans="1:50" ht="20.100000000000001" customHeight="1" x14ac:dyDescent="0.25">
      <c r="A232" s="37"/>
      <c r="B232" s="58"/>
      <c r="C232" s="37"/>
      <c r="D232" s="97"/>
      <c r="E232" s="98"/>
      <c r="F232" s="101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3"/>
      <c r="T232" s="83"/>
      <c r="U232" s="85"/>
      <c r="V232" s="83"/>
      <c r="W232" s="85"/>
      <c r="X232" s="97"/>
      <c r="Y232" s="100"/>
      <c r="Z232" s="100"/>
      <c r="AA232" s="100"/>
      <c r="AB232" s="100"/>
      <c r="AC232" s="100"/>
      <c r="AD232" s="98"/>
      <c r="AE232" s="83"/>
      <c r="AF232" s="84"/>
      <c r="AG232" s="85"/>
      <c r="AH232" s="83"/>
      <c r="AI232" s="84"/>
      <c r="AJ232" s="84"/>
      <c r="AK232" s="85"/>
      <c r="AL232" s="83"/>
      <c r="AM232" s="84"/>
      <c r="AN232" s="85"/>
      <c r="AO232" s="60"/>
      <c r="AP232" s="61"/>
      <c r="AQ232" s="78">
        <f t="shared" si="6"/>
        <v>0</v>
      </c>
      <c r="AR232" s="37"/>
      <c r="AS232" s="78">
        <f t="shared" si="7"/>
        <v>0</v>
      </c>
      <c r="AT232" s="37"/>
      <c r="AU232" s="37"/>
      <c r="AV232" s="37"/>
      <c r="AW232" s="37"/>
      <c r="AX232" s="37"/>
    </row>
    <row r="233" spans="1:50" ht="20.100000000000001" customHeight="1" x14ac:dyDescent="0.25">
      <c r="A233" s="37"/>
      <c r="B233" s="58"/>
      <c r="C233" s="37"/>
      <c r="D233" s="97"/>
      <c r="E233" s="98"/>
      <c r="F233" s="101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3"/>
      <c r="T233" s="83"/>
      <c r="U233" s="85"/>
      <c r="V233" s="83"/>
      <c r="W233" s="85"/>
      <c r="X233" s="97"/>
      <c r="Y233" s="100"/>
      <c r="Z233" s="100"/>
      <c r="AA233" s="100"/>
      <c r="AB233" s="100"/>
      <c r="AC233" s="100"/>
      <c r="AD233" s="98"/>
      <c r="AE233" s="83"/>
      <c r="AF233" s="84"/>
      <c r="AG233" s="85"/>
      <c r="AH233" s="83"/>
      <c r="AI233" s="84"/>
      <c r="AJ233" s="84"/>
      <c r="AK233" s="85"/>
      <c r="AL233" s="83"/>
      <c r="AM233" s="84"/>
      <c r="AN233" s="85"/>
      <c r="AO233" s="60"/>
      <c r="AP233" s="61"/>
      <c r="AQ233" s="78">
        <f t="shared" si="6"/>
        <v>0</v>
      </c>
      <c r="AR233" s="37"/>
      <c r="AS233" s="78">
        <f t="shared" si="7"/>
        <v>0</v>
      </c>
      <c r="AT233" s="37"/>
      <c r="AU233" s="37"/>
      <c r="AV233" s="37"/>
      <c r="AW233" s="37"/>
      <c r="AX233" s="37"/>
    </row>
    <row r="234" spans="1:50" ht="20.100000000000001" customHeight="1" x14ac:dyDescent="0.25">
      <c r="A234" s="37"/>
      <c r="B234" s="58"/>
      <c r="C234" s="37"/>
      <c r="D234" s="97"/>
      <c r="E234" s="98"/>
      <c r="F234" s="101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3"/>
      <c r="T234" s="83"/>
      <c r="U234" s="85"/>
      <c r="V234" s="83"/>
      <c r="W234" s="85"/>
      <c r="X234" s="97"/>
      <c r="Y234" s="100"/>
      <c r="Z234" s="100"/>
      <c r="AA234" s="100"/>
      <c r="AB234" s="100"/>
      <c r="AC234" s="100"/>
      <c r="AD234" s="98"/>
      <c r="AE234" s="83"/>
      <c r="AF234" s="84"/>
      <c r="AG234" s="85"/>
      <c r="AH234" s="83"/>
      <c r="AI234" s="84"/>
      <c r="AJ234" s="84"/>
      <c r="AK234" s="85"/>
      <c r="AL234" s="83"/>
      <c r="AM234" s="84"/>
      <c r="AN234" s="85"/>
      <c r="AO234" s="60"/>
      <c r="AP234" s="61"/>
      <c r="AQ234" s="78">
        <f t="shared" si="6"/>
        <v>0</v>
      </c>
      <c r="AR234" s="37"/>
      <c r="AS234" s="78">
        <f t="shared" si="7"/>
        <v>0</v>
      </c>
      <c r="AT234" s="37"/>
      <c r="AU234" s="37"/>
      <c r="AV234" s="37"/>
      <c r="AW234" s="37"/>
      <c r="AX234" s="37"/>
    </row>
    <row r="235" spans="1:50" ht="20.100000000000001" customHeight="1" x14ac:dyDescent="0.25">
      <c r="A235" s="37"/>
      <c r="B235" s="58"/>
      <c r="C235" s="37"/>
      <c r="D235" s="97"/>
      <c r="E235" s="98"/>
      <c r="F235" s="101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3"/>
      <c r="T235" s="83"/>
      <c r="U235" s="85"/>
      <c r="V235" s="83"/>
      <c r="W235" s="85"/>
      <c r="X235" s="97"/>
      <c r="Y235" s="100"/>
      <c r="Z235" s="100"/>
      <c r="AA235" s="100"/>
      <c r="AB235" s="100"/>
      <c r="AC235" s="100"/>
      <c r="AD235" s="98"/>
      <c r="AE235" s="83"/>
      <c r="AF235" s="84"/>
      <c r="AG235" s="85"/>
      <c r="AH235" s="83"/>
      <c r="AI235" s="84"/>
      <c r="AJ235" s="84"/>
      <c r="AK235" s="85"/>
      <c r="AL235" s="83"/>
      <c r="AM235" s="84"/>
      <c r="AN235" s="85"/>
      <c r="AO235" s="60"/>
      <c r="AP235" s="61"/>
      <c r="AQ235" s="78">
        <f t="shared" si="6"/>
        <v>0</v>
      </c>
      <c r="AR235" s="37"/>
      <c r="AS235" s="78">
        <f t="shared" si="7"/>
        <v>0</v>
      </c>
      <c r="AT235" s="37"/>
      <c r="AU235" s="37"/>
      <c r="AV235" s="37"/>
      <c r="AW235" s="37"/>
      <c r="AX235" s="37"/>
    </row>
    <row r="236" spans="1:50" ht="20.100000000000001" customHeight="1" x14ac:dyDescent="0.25">
      <c r="A236" s="37"/>
      <c r="B236" s="58"/>
      <c r="C236" s="37"/>
      <c r="D236" s="97"/>
      <c r="E236" s="98"/>
      <c r="F236" s="101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3"/>
      <c r="T236" s="83"/>
      <c r="U236" s="85"/>
      <c r="V236" s="83"/>
      <c r="W236" s="85"/>
      <c r="X236" s="97"/>
      <c r="Y236" s="100"/>
      <c r="Z236" s="100"/>
      <c r="AA236" s="100"/>
      <c r="AB236" s="100"/>
      <c r="AC236" s="100"/>
      <c r="AD236" s="98"/>
      <c r="AE236" s="83"/>
      <c r="AF236" s="84"/>
      <c r="AG236" s="85"/>
      <c r="AH236" s="83"/>
      <c r="AI236" s="84"/>
      <c r="AJ236" s="84"/>
      <c r="AK236" s="85"/>
      <c r="AL236" s="83"/>
      <c r="AM236" s="84"/>
      <c r="AN236" s="85"/>
      <c r="AO236" s="60"/>
      <c r="AP236" s="61"/>
      <c r="AQ236" s="78">
        <f t="shared" si="6"/>
        <v>0</v>
      </c>
      <c r="AR236" s="37"/>
      <c r="AS236" s="78">
        <f t="shared" si="7"/>
        <v>0</v>
      </c>
      <c r="AT236" s="37"/>
      <c r="AU236" s="37"/>
      <c r="AV236" s="37"/>
      <c r="AW236" s="37"/>
      <c r="AX236" s="37"/>
    </row>
    <row r="237" spans="1:50" ht="20.100000000000001" customHeight="1" x14ac:dyDescent="0.25">
      <c r="A237" s="37"/>
      <c r="B237" s="58"/>
      <c r="C237" s="37"/>
      <c r="D237" s="97"/>
      <c r="E237" s="98"/>
      <c r="F237" s="101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3"/>
      <c r="T237" s="83"/>
      <c r="U237" s="85"/>
      <c r="V237" s="83"/>
      <c r="W237" s="85"/>
      <c r="X237" s="97"/>
      <c r="Y237" s="100"/>
      <c r="Z237" s="100"/>
      <c r="AA237" s="100"/>
      <c r="AB237" s="100"/>
      <c r="AC237" s="100"/>
      <c r="AD237" s="98"/>
      <c r="AE237" s="83"/>
      <c r="AF237" s="84"/>
      <c r="AG237" s="85"/>
      <c r="AH237" s="83"/>
      <c r="AI237" s="84"/>
      <c r="AJ237" s="84"/>
      <c r="AK237" s="85"/>
      <c r="AL237" s="83"/>
      <c r="AM237" s="84"/>
      <c r="AN237" s="85"/>
      <c r="AO237" s="60"/>
      <c r="AP237" s="61"/>
      <c r="AQ237" s="78">
        <f t="shared" si="6"/>
        <v>0</v>
      </c>
      <c r="AR237" s="37"/>
      <c r="AS237" s="78">
        <f t="shared" si="7"/>
        <v>0</v>
      </c>
      <c r="AT237" s="37"/>
      <c r="AU237" s="37"/>
      <c r="AV237" s="37"/>
      <c r="AW237" s="37"/>
      <c r="AX237" s="37"/>
    </row>
    <row r="238" spans="1:50" ht="20.100000000000001" customHeight="1" x14ac:dyDescent="0.25">
      <c r="A238" s="37"/>
      <c r="B238" s="58"/>
      <c r="C238" s="37"/>
      <c r="D238" s="97"/>
      <c r="E238" s="98"/>
      <c r="F238" s="101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3"/>
      <c r="T238" s="83"/>
      <c r="U238" s="85"/>
      <c r="V238" s="83"/>
      <c r="W238" s="85"/>
      <c r="X238" s="97"/>
      <c r="Y238" s="100"/>
      <c r="Z238" s="100"/>
      <c r="AA238" s="100"/>
      <c r="AB238" s="100"/>
      <c r="AC238" s="100"/>
      <c r="AD238" s="98"/>
      <c r="AE238" s="83"/>
      <c r="AF238" s="84"/>
      <c r="AG238" s="85"/>
      <c r="AH238" s="83"/>
      <c r="AI238" s="84"/>
      <c r="AJ238" s="84"/>
      <c r="AK238" s="85"/>
      <c r="AL238" s="83"/>
      <c r="AM238" s="84"/>
      <c r="AN238" s="85"/>
      <c r="AO238" s="60"/>
      <c r="AP238" s="61"/>
      <c r="AQ238" s="78">
        <f t="shared" si="6"/>
        <v>0</v>
      </c>
      <c r="AR238" s="37"/>
      <c r="AS238" s="78">
        <f t="shared" si="7"/>
        <v>0</v>
      </c>
      <c r="AT238" s="37"/>
      <c r="AU238" s="37"/>
      <c r="AV238" s="37"/>
      <c r="AW238" s="37"/>
      <c r="AX238" s="37"/>
    </row>
    <row r="239" spans="1:50" ht="20.100000000000001" customHeight="1" x14ac:dyDescent="0.25">
      <c r="A239" s="37"/>
      <c r="B239" s="58"/>
      <c r="C239" s="37"/>
      <c r="D239" s="97"/>
      <c r="E239" s="98"/>
      <c r="F239" s="101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3"/>
      <c r="T239" s="83"/>
      <c r="U239" s="85"/>
      <c r="V239" s="83"/>
      <c r="W239" s="85"/>
      <c r="X239" s="97"/>
      <c r="Y239" s="100"/>
      <c r="Z239" s="100"/>
      <c r="AA239" s="100"/>
      <c r="AB239" s="100"/>
      <c r="AC239" s="100"/>
      <c r="AD239" s="98"/>
      <c r="AE239" s="83"/>
      <c r="AF239" s="84"/>
      <c r="AG239" s="85"/>
      <c r="AH239" s="83"/>
      <c r="AI239" s="84"/>
      <c r="AJ239" s="84"/>
      <c r="AK239" s="85"/>
      <c r="AL239" s="83"/>
      <c r="AM239" s="84"/>
      <c r="AN239" s="85"/>
      <c r="AO239" s="60"/>
      <c r="AP239" s="61"/>
      <c r="AQ239" s="78">
        <f t="shared" si="6"/>
        <v>0</v>
      </c>
      <c r="AR239" s="37"/>
      <c r="AS239" s="78">
        <f t="shared" si="7"/>
        <v>0</v>
      </c>
      <c r="AT239" s="37"/>
      <c r="AU239" s="37"/>
      <c r="AV239" s="37"/>
      <c r="AW239" s="37"/>
      <c r="AX239" s="37"/>
    </row>
    <row r="240" spans="1:50" ht="20.100000000000001" customHeight="1" x14ac:dyDescent="0.25">
      <c r="A240" s="37"/>
      <c r="B240" s="58"/>
      <c r="C240" s="37"/>
      <c r="D240" s="97"/>
      <c r="E240" s="98"/>
      <c r="F240" s="101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3"/>
      <c r="T240" s="83"/>
      <c r="U240" s="85"/>
      <c r="V240" s="83"/>
      <c r="W240" s="85"/>
      <c r="X240" s="97"/>
      <c r="Y240" s="100"/>
      <c r="Z240" s="100"/>
      <c r="AA240" s="100"/>
      <c r="AB240" s="100"/>
      <c r="AC240" s="100"/>
      <c r="AD240" s="98"/>
      <c r="AE240" s="83"/>
      <c r="AF240" s="84"/>
      <c r="AG240" s="85"/>
      <c r="AH240" s="83"/>
      <c r="AI240" s="84"/>
      <c r="AJ240" s="84"/>
      <c r="AK240" s="85"/>
      <c r="AL240" s="83"/>
      <c r="AM240" s="84"/>
      <c r="AN240" s="85"/>
      <c r="AO240" s="60"/>
      <c r="AP240" s="61"/>
      <c r="AQ240" s="78">
        <f t="shared" si="6"/>
        <v>0</v>
      </c>
      <c r="AR240" s="37"/>
      <c r="AS240" s="78">
        <f t="shared" si="7"/>
        <v>0</v>
      </c>
      <c r="AT240" s="37"/>
      <c r="AU240" s="37"/>
      <c r="AV240" s="37"/>
      <c r="AW240" s="37"/>
      <c r="AX240" s="37"/>
    </row>
    <row r="241" spans="1:50" ht="20.100000000000001" customHeight="1" x14ac:dyDescent="0.25">
      <c r="A241" s="37"/>
      <c r="B241" s="58"/>
      <c r="C241" s="37"/>
      <c r="D241" s="97"/>
      <c r="E241" s="98"/>
      <c r="F241" s="101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3"/>
      <c r="T241" s="83"/>
      <c r="U241" s="85"/>
      <c r="V241" s="83"/>
      <c r="W241" s="85"/>
      <c r="X241" s="97"/>
      <c r="Y241" s="100"/>
      <c r="Z241" s="100"/>
      <c r="AA241" s="100"/>
      <c r="AB241" s="100"/>
      <c r="AC241" s="100"/>
      <c r="AD241" s="98"/>
      <c r="AE241" s="83"/>
      <c r="AF241" s="84"/>
      <c r="AG241" s="85"/>
      <c r="AH241" s="83"/>
      <c r="AI241" s="84"/>
      <c r="AJ241" s="84"/>
      <c r="AK241" s="85"/>
      <c r="AL241" s="83"/>
      <c r="AM241" s="84"/>
      <c r="AN241" s="85"/>
      <c r="AO241" s="60"/>
      <c r="AP241" s="61"/>
      <c r="AQ241" s="78">
        <f t="shared" si="6"/>
        <v>0</v>
      </c>
      <c r="AR241" s="37"/>
      <c r="AS241" s="78">
        <f t="shared" si="7"/>
        <v>0</v>
      </c>
      <c r="AT241" s="37"/>
      <c r="AU241" s="37"/>
      <c r="AV241" s="37"/>
      <c r="AW241" s="37"/>
      <c r="AX241" s="37"/>
    </row>
    <row r="242" spans="1:50" ht="20.100000000000001" customHeight="1" x14ac:dyDescent="0.25">
      <c r="A242" s="37"/>
      <c r="B242" s="58"/>
      <c r="C242" s="37"/>
      <c r="D242" s="97"/>
      <c r="E242" s="98"/>
      <c r="F242" s="101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3"/>
      <c r="T242" s="83"/>
      <c r="U242" s="85"/>
      <c r="V242" s="83"/>
      <c r="W242" s="85"/>
      <c r="X242" s="97"/>
      <c r="Y242" s="100"/>
      <c r="Z242" s="100"/>
      <c r="AA242" s="100"/>
      <c r="AB242" s="100"/>
      <c r="AC242" s="100"/>
      <c r="AD242" s="98"/>
      <c r="AE242" s="83"/>
      <c r="AF242" s="84"/>
      <c r="AG242" s="85"/>
      <c r="AH242" s="83"/>
      <c r="AI242" s="84"/>
      <c r="AJ242" s="84"/>
      <c r="AK242" s="85"/>
      <c r="AL242" s="83"/>
      <c r="AM242" s="84"/>
      <c r="AN242" s="85"/>
      <c r="AO242" s="60"/>
      <c r="AP242" s="61"/>
      <c r="AQ242" s="78">
        <f t="shared" si="6"/>
        <v>0</v>
      </c>
      <c r="AR242" s="37"/>
      <c r="AS242" s="78">
        <f t="shared" si="7"/>
        <v>0</v>
      </c>
      <c r="AT242" s="37"/>
      <c r="AU242" s="37"/>
      <c r="AV242" s="37"/>
      <c r="AW242" s="37"/>
      <c r="AX242" s="37"/>
    </row>
    <row r="243" spans="1:50" ht="20.100000000000001" customHeight="1" x14ac:dyDescent="0.25">
      <c r="A243" s="37"/>
      <c r="B243" s="58"/>
      <c r="C243" s="37"/>
      <c r="D243" s="97"/>
      <c r="E243" s="98"/>
      <c r="F243" s="101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3"/>
      <c r="T243" s="83"/>
      <c r="U243" s="85"/>
      <c r="V243" s="83"/>
      <c r="W243" s="85"/>
      <c r="X243" s="97"/>
      <c r="Y243" s="100"/>
      <c r="Z243" s="100"/>
      <c r="AA243" s="100"/>
      <c r="AB243" s="100"/>
      <c r="AC243" s="100"/>
      <c r="AD243" s="98"/>
      <c r="AE243" s="83"/>
      <c r="AF243" s="84"/>
      <c r="AG243" s="85"/>
      <c r="AH243" s="83"/>
      <c r="AI243" s="84"/>
      <c r="AJ243" s="84"/>
      <c r="AK243" s="85"/>
      <c r="AL243" s="83"/>
      <c r="AM243" s="84"/>
      <c r="AN243" s="85"/>
      <c r="AO243" s="60"/>
      <c r="AP243" s="61"/>
      <c r="AQ243" s="78">
        <f t="shared" si="6"/>
        <v>0</v>
      </c>
      <c r="AR243" s="37"/>
      <c r="AS243" s="78">
        <f t="shared" si="7"/>
        <v>0</v>
      </c>
      <c r="AT243" s="37"/>
      <c r="AU243" s="37"/>
      <c r="AV243" s="37"/>
      <c r="AW243" s="37"/>
      <c r="AX243" s="37"/>
    </row>
    <row r="244" spans="1:50" ht="20.100000000000001" customHeight="1" x14ac:dyDescent="0.25">
      <c r="A244" s="37"/>
      <c r="B244" s="58"/>
      <c r="C244" s="37"/>
      <c r="D244" s="97"/>
      <c r="E244" s="98"/>
      <c r="F244" s="101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3"/>
      <c r="T244" s="83"/>
      <c r="U244" s="85"/>
      <c r="V244" s="83"/>
      <c r="W244" s="85"/>
      <c r="X244" s="97"/>
      <c r="Y244" s="100"/>
      <c r="Z244" s="100"/>
      <c r="AA244" s="100"/>
      <c r="AB244" s="100"/>
      <c r="AC244" s="100"/>
      <c r="AD244" s="98"/>
      <c r="AE244" s="83"/>
      <c r="AF244" s="84"/>
      <c r="AG244" s="85"/>
      <c r="AH244" s="83"/>
      <c r="AI244" s="84"/>
      <c r="AJ244" s="84"/>
      <c r="AK244" s="85"/>
      <c r="AL244" s="83"/>
      <c r="AM244" s="84"/>
      <c r="AN244" s="85"/>
      <c r="AO244" s="60"/>
      <c r="AP244" s="61"/>
      <c r="AQ244" s="78">
        <f t="shared" si="6"/>
        <v>0</v>
      </c>
      <c r="AR244" s="37"/>
      <c r="AS244" s="78">
        <f t="shared" si="7"/>
        <v>0</v>
      </c>
      <c r="AT244" s="37"/>
      <c r="AU244" s="37"/>
      <c r="AV244" s="37"/>
      <c r="AW244" s="37"/>
      <c r="AX244" s="37"/>
    </row>
    <row r="245" spans="1:50" ht="20.100000000000001" customHeight="1" x14ac:dyDescent="0.25">
      <c r="A245" s="37"/>
      <c r="B245" s="58"/>
      <c r="C245" s="37"/>
      <c r="D245" s="97"/>
      <c r="E245" s="98"/>
      <c r="F245" s="101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3"/>
      <c r="T245" s="83"/>
      <c r="U245" s="85"/>
      <c r="V245" s="83"/>
      <c r="W245" s="85"/>
      <c r="X245" s="97"/>
      <c r="Y245" s="100"/>
      <c r="Z245" s="100"/>
      <c r="AA245" s="100"/>
      <c r="AB245" s="100"/>
      <c r="AC245" s="100"/>
      <c r="AD245" s="98"/>
      <c r="AE245" s="83"/>
      <c r="AF245" s="84"/>
      <c r="AG245" s="85"/>
      <c r="AH245" s="83"/>
      <c r="AI245" s="84"/>
      <c r="AJ245" s="84"/>
      <c r="AK245" s="85"/>
      <c r="AL245" s="83"/>
      <c r="AM245" s="84"/>
      <c r="AN245" s="85"/>
      <c r="AO245" s="60"/>
      <c r="AP245" s="61"/>
      <c r="AQ245" s="78">
        <f t="shared" si="6"/>
        <v>0</v>
      </c>
      <c r="AR245" s="37"/>
      <c r="AS245" s="78">
        <f t="shared" si="7"/>
        <v>0</v>
      </c>
      <c r="AT245" s="37"/>
      <c r="AU245" s="37"/>
      <c r="AV245" s="37"/>
      <c r="AW245" s="37"/>
      <c r="AX245" s="37"/>
    </row>
    <row r="246" spans="1:50" ht="20.100000000000001" customHeight="1" x14ac:dyDescent="0.25">
      <c r="A246" s="37"/>
      <c r="B246" s="58"/>
      <c r="C246" s="37"/>
      <c r="D246" s="97"/>
      <c r="E246" s="98"/>
      <c r="F246" s="101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3"/>
      <c r="T246" s="83"/>
      <c r="U246" s="85"/>
      <c r="V246" s="83"/>
      <c r="W246" s="85"/>
      <c r="X246" s="97"/>
      <c r="Y246" s="100"/>
      <c r="Z246" s="100"/>
      <c r="AA246" s="100"/>
      <c r="AB246" s="100"/>
      <c r="AC246" s="100"/>
      <c r="AD246" s="98"/>
      <c r="AE246" s="83"/>
      <c r="AF246" s="84"/>
      <c r="AG246" s="85"/>
      <c r="AH246" s="83"/>
      <c r="AI246" s="84"/>
      <c r="AJ246" s="84"/>
      <c r="AK246" s="85"/>
      <c r="AL246" s="83"/>
      <c r="AM246" s="84"/>
      <c r="AN246" s="85"/>
      <c r="AO246" s="60"/>
      <c r="AP246" s="61"/>
      <c r="AQ246" s="78">
        <f t="shared" si="6"/>
        <v>0</v>
      </c>
      <c r="AR246" s="37"/>
      <c r="AS246" s="78">
        <f t="shared" si="7"/>
        <v>0</v>
      </c>
      <c r="AT246" s="37"/>
      <c r="AU246" s="37"/>
      <c r="AV246" s="37"/>
      <c r="AW246" s="37"/>
      <c r="AX246" s="37"/>
    </row>
    <row r="247" spans="1:50" ht="20.100000000000001" customHeight="1" x14ac:dyDescent="0.25">
      <c r="A247" s="37"/>
      <c r="B247" s="58"/>
      <c r="C247" s="37"/>
      <c r="D247" s="97"/>
      <c r="E247" s="98"/>
      <c r="F247" s="101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3"/>
      <c r="T247" s="83"/>
      <c r="U247" s="85"/>
      <c r="V247" s="83"/>
      <c r="W247" s="85"/>
      <c r="X247" s="97"/>
      <c r="Y247" s="100"/>
      <c r="Z247" s="100"/>
      <c r="AA247" s="100"/>
      <c r="AB247" s="100"/>
      <c r="AC247" s="100"/>
      <c r="AD247" s="98"/>
      <c r="AE247" s="83"/>
      <c r="AF247" s="84"/>
      <c r="AG247" s="85"/>
      <c r="AH247" s="83"/>
      <c r="AI247" s="84"/>
      <c r="AJ247" s="84"/>
      <c r="AK247" s="85"/>
      <c r="AL247" s="83"/>
      <c r="AM247" s="84"/>
      <c r="AN247" s="85"/>
      <c r="AO247" s="60"/>
      <c r="AP247" s="61"/>
      <c r="AQ247" s="78">
        <f t="shared" si="6"/>
        <v>0</v>
      </c>
      <c r="AR247" s="37"/>
      <c r="AS247" s="78">
        <f t="shared" si="7"/>
        <v>0</v>
      </c>
      <c r="AT247" s="37"/>
      <c r="AU247" s="37"/>
      <c r="AV247" s="37"/>
      <c r="AW247" s="37"/>
      <c r="AX247" s="37"/>
    </row>
    <row r="248" spans="1:50" ht="20.100000000000001" customHeight="1" x14ac:dyDescent="0.25">
      <c r="A248" s="37"/>
      <c r="B248" s="58"/>
      <c r="C248" s="37"/>
      <c r="D248" s="97"/>
      <c r="E248" s="98"/>
      <c r="F248" s="101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3"/>
      <c r="T248" s="83"/>
      <c r="U248" s="85"/>
      <c r="V248" s="83"/>
      <c r="W248" s="85"/>
      <c r="X248" s="97"/>
      <c r="Y248" s="100"/>
      <c r="Z248" s="100"/>
      <c r="AA248" s="100"/>
      <c r="AB248" s="100"/>
      <c r="AC248" s="100"/>
      <c r="AD248" s="98"/>
      <c r="AE248" s="83"/>
      <c r="AF248" s="84"/>
      <c r="AG248" s="85"/>
      <c r="AH248" s="83"/>
      <c r="AI248" s="84"/>
      <c r="AJ248" s="84"/>
      <c r="AK248" s="85"/>
      <c r="AL248" s="83"/>
      <c r="AM248" s="84"/>
      <c r="AN248" s="85"/>
      <c r="AO248" s="60"/>
      <c r="AP248" s="61"/>
      <c r="AQ248" s="78">
        <f t="shared" si="6"/>
        <v>0</v>
      </c>
      <c r="AR248" s="37"/>
      <c r="AS248" s="78">
        <f t="shared" si="7"/>
        <v>0</v>
      </c>
      <c r="AT248" s="37"/>
      <c r="AU248" s="37"/>
      <c r="AV248" s="37"/>
      <c r="AW248" s="37"/>
      <c r="AX248" s="37"/>
    </row>
    <row r="249" spans="1:50" ht="20.100000000000001" customHeight="1" x14ac:dyDescent="0.25">
      <c r="A249" s="37"/>
      <c r="B249" s="58"/>
      <c r="C249" s="37"/>
      <c r="D249" s="97"/>
      <c r="E249" s="98"/>
      <c r="F249" s="101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3"/>
      <c r="T249" s="83"/>
      <c r="U249" s="85"/>
      <c r="V249" s="83"/>
      <c r="W249" s="85"/>
      <c r="X249" s="97"/>
      <c r="Y249" s="100"/>
      <c r="Z249" s="100"/>
      <c r="AA249" s="100"/>
      <c r="AB249" s="100"/>
      <c r="AC249" s="100"/>
      <c r="AD249" s="98"/>
      <c r="AE249" s="83"/>
      <c r="AF249" s="84"/>
      <c r="AG249" s="85"/>
      <c r="AH249" s="83"/>
      <c r="AI249" s="84"/>
      <c r="AJ249" s="84"/>
      <c r="AK249" s="85"/>
      <c r="AL249" s="83"/>
      <c r="AM249" s="84"/>
      <c r="AN249" s="85"/>
      <c r="AO249" s="60"/>
      <c r="AP249" s="61"/>
      <c r="AQ249" s="78">
        <f t="shared" si="6"/>
        <v>0</v>
      </c>
      <c r="AR249" s="37"/>
      <c r="AS249" s="78">
        <f t="shared" si="7"/>
        <v>0</v>
      </c>
      <c r="AT249" s="37"/>
      <c r="AU249" s="37"/>
      <c r="AV249" s="37"/>
      <c r="AW249" s="37"/>
      <c r="AX249" s="37"/>
    </row>
    <row r="250" spans="1:50" ht="20.100000000000001" customHeight="1" x14ac:dyDescent="0.25">
      <c r="A250" s="37"/>
      <c r="B250" s="58"/>
      <c r="C250" s="37"/>
      <c r="D250" s="97"/>
      <c r="E250" s="98"/>
      <c r="F250" s="101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3"/>
      <c r="T250" s="83"/>
      <c r="U250" s="85"/>
      <c r="V250" s="83"/>
      <c r="W250" s="85"/>
      <c r="X250" s="97"/>
      <c r="Y250" s="100"/>
      <c r="Z250" s="100"/>
      <c r="AA250" s="100"/>
      <c r="AB250" s="100"/>
      <c r="AC250" s="100"/>
      <c r="AD250" s="98"/>
      <c r="AE250" s="83"/>
      <c r="AF250" s="84"/>
      <c r="AG250" s="85"/>
      <c r="AH250" s="83"/>
      <c r="AI250" s="84"/>
      <c r="AJ250" s="84"/>
      <c r="AK250" s="85"/>
      <c r="AL250" s="83"/>
      <c r="AM250" s="84"/>
      <c r="AN250" s="85"/>
      <c r="AO250" s="60"/>
      <c r="AP250" s="61"/>
      <c r="AQ250" s="78">
        <f t="shared" si="6"/>
        <v>0</v>
      </c>
      <c r="AR250" s="37"/>
      <c r="AS250" s="78">
        <f t="shared" si="7"/>
        <v>0</v>
      </c>
      <c r="AT250" s="37"/>
      <c r="AU250" s="37"/>
      <c r="AV250" s="37"/>
      <c r="AW250" s="37"/>
      <c r="AX250" s="37"/>
    </row>
    <row r="251" spans="1:50" ht="20.100000000000001" customHeight="1" x14ac:dyDescent="0.25">
      <c r="A251" s="37"/>
      <c r="B251" s="58"/>
      <c r="C251" s="37"/>
      <c r="D251" s="97"/>
      <c r="E251" s="98"/>
      <c r="F251" s="101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3"/>
      <c r="T251" s="83"/>
      <c r="U251" s="85"/>
      <c r="V251" s="83"/>
      <c r="W251" s="85"/>
      <c r="X251" s="97"/>
      <c r="Y251" s="100"/>
      <c r="Z251" s="100"/>
      <c r="AA251" s="100"/>
      <c r="AB251" s="100"/>
      <c r="AC251" s="100"/>
      <c r="AD251" s="98"/>
      <c r="AE251" s="83"/>
      <c r="AF251" s="84"/>
      <c r="AG251" s="85"/>
      <c r="AH251" s="83"/>
      <c r="AI251" s="84"/>
      <c r="AJ251" s="84"/>
      <c r="AK251" s="85"/>
      <c r="AL251" s="83"/>
      <c r="AM251" s="84"/>
      <c r="AN251" s="85"/>
      <c r="AO251" s="60"/>
      <c r="AP251" s="61"/>
      <c r="AQ251" s="77">
        <f t="shared" ref="AQ251:AQ261" si="8">AP251-B251</f>
        <v>0</v>
      </c>
      <c r="AR251" s="37"/>
      <c r="AS251" s="78">
        <f t="shared" si="7"/>
        <v>0</v>
      </c>
      <c r="AT251" s="37"/>
      <c r="AU251" s="37"/>
      <c r="AV251" s="37"/>
      <c r="AW251" s="37"/>
      <c r="AX251" s="37"/>
    </row>
    <row r="252" spans="1:50" ht="20.100000000000001" customHeight="1" x14ac:dyDescent="0.25">
      <c r="A252" s="37"/>
      <c r="B252" s="58"/>
      <c r="C252" s="37"/>
      <c r="D252" s="97"/>
      <c r="E252" s="98"/>
      <c r="F252" s="101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3"/>
      <c r="T252" s="83"/>
      <c r="U252" s="85"/>
      <c r="V252" s="83"/>
      <c r="W252" s="85"/>
      <c r="X252" s="97"/>
      <c r="Y252" s="100"/>
      <c r="Z252" s="100"/>
      <c r="AA252" s="100"/>
      <c r="AB252" s="100"/>
      <c r="AC252" s="100"/>
      <c r="AD252" s="98"/>
      <c r="AE252" s="83"/>
      <c r="AF252" s="84"/>
      <c r="AG252" s="85"/>
      <c r="AH252" s="83"/>
      <c r="AI252" s="84"/>
      <c r="AJ252" s="84"/>
      <c r="AK252" s="85"/>
      <c r="AL252" s="83"/>
      <c r="AM252" s="84"/>
      <c r="AN252" s="85"/>
      <c r="AO252" s="60"/>
      <c r="AP252" s="61"/>
      <c r="AQ252" s="77">
        <f t="shared" si="8"/>
        <v>0</v>
      </c>
      <c r="AR252" s="37"/>
      <c r="AS252" s="78">
        <f t="shared" si="7"/>
        <v>0</v>
      </c>
      <c r="AT252" s="37"/>
      <c r="AU252" s="37"/>
      <c r="AV252" s="37"/>
      <c r="AW252" s="37"/>
      <c r="AX252" s="37"/>
    </row>
    <row r="253" spans="1:50" ht="20.100000000000001" customHeight="1" x14ac:dyDescent="0.25">
      <c r="A253" s="37"/>
      <c r="B253" s="58"/>
      <c r="C253" s="37"/>
      <c r="D253" s="97"/>
      <c r="E253" s="98"/>
      <c r="F253" s="101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3"/>
      <c r="T253" s="83"/>
      <c r="U253" s="85"/>
      <c r="V253" s="83"/>
      <c r="W253" s="85"/>
      <c r="X253" s="97"/>
      <c r="Y253" s="100"/>
      <c r="Z253" s="100"/>
      <c r="AA253" s="100"/>
      <c r="AB253" s="100"/>
      <c r="AC253" s="100"/>
      <c r="AD253" s="98"/>
      <c r="AE253" s="83"/>
      <c r="AF253" s="84"/>
      <c r="AG253" s="85"/>
      <c r="AH253" s="83"/>
      <c r="AI253" s="84"/>
      <c r="AJ253" s="84"/>
      <c r="AK253" s="85"/>
      <c r="AL253" s="83"/>
      <c r="AM253" s="84"/>
      <c r="AN253" s="85"/>
      <c r="AO253" s="60"/>
      <c r="AP253" s="61"/>
      <c r="AQ253" s="77">
        <f t="shared" si="8"/>
        <v>0</v>
      </c>
      <c r="AR253" s="37"/>
      <c r="AS253" s="78">
        <f t="shared" si="7"/>
        <v>0</v>
      </c>
      <c r="AT253" s="37"/>
      <c r="AU253" s="37"/>
      <c r="AV253" s="37"/>
      <c r="AW253" s="37"/>
      <c r="AX253" s="37"/>
    </row>
    <row r="254" spans="1:50" ht="20.100000000000001" customHeight="1" x14ac:dyDescent="0.25">
      <c r="A254" s="37"/>
      <c r="B254" s="58"/>
      <c r="C254" s="37"/>
      <c r="D254" s="97"/>
      <c r="E254" s="98"/>
      <c r="F254" s="101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3"/>
      <c r="T254" s="83"/>
      <c r="U254" s="85"/>
      <c r="V254" s="83"/>
      <c r="W254" s="85"/>
      <c r="X254" s="97"/>
      <c r="Y254" s="100"/>
      <c r="Z254" s="100"/>
      <c r="AA254" s="100"/>
      <c r="AB254" s="100"/>
      <c r="AC254" s="100"/>
      <c r="AD254" s="98"/>
      <c r="AE254" s="83"/>
      <c r="AF254" s="84"/>
      <c r="AG254" s="85"/>
      <c r="AH254" s="83"/>
      <c r="AI254" s="84"/>
      <c r="AJ254" s="84"/>
      <c r="AK254" s="85"/>
      <c r="AL254" s="83"/>
      <c r="AM254" s="84"/>
      <c r="AN254" s="85"/>
      <c r="AO254" s="60"/>
      <c r="AP254" s="61"/>
      <c r="AQ254" s="77">
        <f t="shared" si="8"/>
        <v>0</v>
      </c>
      <c r="AR254" s="37"/>
      <c r="AS254" s="78">
        <f t="shared" si="7"/>
        <v>0</v>
      </c>
      <c r="AT254" s="37"/>
      <c r="AU254" s="37"/>
      <c r="AV254" s="37"/>
      <c r="AW254" s="37"/>
      <c r="AX254" s="37"/>
    </row>
    <row r="255" spans="1:50" ht="20.100000000000001" customHeight="1" x14ac:dyDescent="0.25">
      <c r="A255" s="37"/>
      <c r="B255" s="58"/>
      <c r="C255" s="37"/>
      <c r="D255" s="97"/>
      <c r="E255" s="98"/>
      <c r="F255" s="101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3"/>
      <c r="T255" s="83"/>
      <c r="U255" s="85"/>
      <c r="V255" s="83"/>
      <c r="W255" s="85"/>
      <c r="X255" s="97"/>
      <c r="Y255" s="100"/>
      <c r="Z255" s="100"/>
      <c r="AA255" s="100"/>
      <c r="AB255" s="100"/>
      <c r="AC255" s="100"/>
      <c r="AD255" s="98"/>
      <c r="AE255" s="83"/>
      <c r="AF255" s="84"/>
      <c r="AG255" s="85"/>
      <c r="AH255" s="83"/>
      <c r="AI255" s="84"/>
      <c r="AJ255" s="84"/>
      <c r="AK255" s="85"/>
      <c r="AL255" s="83"/>
      <c r="AM255" s="84"/>
      <c r="AN255" s="85"/>
      <c r="AO255" s="60"/>
      <c r="AP255" s="61"/>
      <c r="AQ255" s="77">
        <f t="shared" si="8"/>
        <v>0</v>
      </c>
      <c r="AR255" s="37"/>
      <c r="AS255" s="78">
        <f t="shared" si="7"/>
        <v>0</v>
      </c>
      <c r="AT255" s="37"/>
      <c r="AU255" s="37"/>
      <c r="AV255" s="37"/>
      <c r="AW255" s="37"/>
      <c r="AX255" s="37"/>
    </row>
    <row r="256" spans="1:50" ht="20.100000000000001" customHeight="1" x14ac:dyDescent="0.25">
      <c r="A256" s="37"/>
      <c r="B256" s="58"/>
      <c r="C256" s="37"/>
      <c r="D256" s="97"/>
      <c r="E256" s="98"/>
      <c r="F256" s="101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3"/>
      <c r="T256" s="83"/>
      <c r="U256" s="85"/>
      <c r="V256" s="83"/>
      <c r="W256" s="85"/>
      <c r="X256" s="97"/>
      <c r="Y256" s="100"/>
      <c r="Z256" s="100"/>
      <c r="AA256" s="100"/>
      <c r="AB256" s="100"/>
      <c r="AC256" s="100"/>
      <c r="AD256" s="98"/>
      <c r="AE256" s="83"/>
      <c r="AF256" s="84"/>
      <c r="AG256" s="85"/>
      <c r="AH256" s="83"/>
      <c r="AI256" s="84"/>
      <c r="AJ256" s="84"/>
      <c r="AK256" s="85"/>
      <c r="AL256" s="83"/>
      <c r="AM256" s="84"/>
      <c r="AN256" s="85"/>
      <c r="AO256" s="60"/>
      <c r="AP256" s="61"/>
      <c r="AQ256" s="77">
        <f t="shared" si="8"/>
        <v>0</v>
      </c>
      <c r="AR256" s="37"/>
      <c r="AS256" s="78">
        <f t="shared" si="7"/>
        <v>0</v>
      </c>
      <c r="AT256" s="37"/>
      <c r="AU256" s="37"/>
      <c r="AV256" s="37"/>
      <c r="AW256" s="37"/>
      <c r="AX256" s="37"/>
    </row>
    <row r="257" spans="1:50" ht="20.100000000000001" customHeight="1" x14ac:dyDescent="0.25">
      <c r="A257" s="37"/>
      <c r="B257" s="58"/>
      <c r="C257" s="37"/>
      <c r="D257" s="97"/>
      <c r="E257" s="98"/>
      <c r="F257" s="101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3"/>
      <c r="T257" s="83"/>
      <c r="U257" s="85"/>
      <c r="V257" s="83"/>
      <c r="W257" s="85"/>
      <c r="X257" s="97"/>
      <c r="Y257" s="100"/>
      <c r="Z257" s="100"/>
      <c r="AA257" s="100"/>
      <c r="AB257" s="100"/>
      <c r="AC257" s="100"/>
      <c r="AD257" s="98"/>
      <c r="AE257" s="83"/>
      <c r="AF257" s="84"/>
      <c r="AG257" s="85"/>
      <c r="AH257" s="83"/>
      <c r="AI257" s="84"/>
      <c r="AJ257" s="84"/>
      <c r="AK257" s="85"/>
      <c r="AL257" s="83"/>
      <c r="AM257" s="84"/>
      <c r="AN257" s="85"/>
      <c r="AO257" s="60"/>
      <c r="AP257" s="61"/>
      <c r="AQ257" s="77">
        <f t="shared" si="8"/>
        <v>0</v>
      </c>
      <c r="AR257" s="37"/>
      <c r="AS257" s="78">
        <f t="shared" si="7"/>
        <v>0</v>
      </c>
      <c r="AT257" s="37"/>
      <c r="AU257" s="37"/>
      <c r="AV257" s="37"/>
      <c r="AW257" s="37"/>
      <c r="AX257" s="37"/>
    </row>
    <row r="258" spans="1:50" ht="20.100000000000001" customHeight="1" x14ac:dyDescent="0.25">
      <c r="A258" s="37"/>
      <c r="B258" s="58"/>
      <c r="C258" s="37"/>
      <c r="D258" s="97"/>
      <c r="E258" s="98"/>
      <c r="F258" s="101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3"/>
      <c r="T258" s="83"/>
      <c r="U258" s="85"/>
      <c r="V258" s="83"/>
      <c r="W258" s="85"/>
      <c r="X258" s="97"/>
      <c r="Y258" s="100"/>
      <c r="Z258" s="100"/>
      <c r="AA258" s="100"/>
      <c r="AB258" s="100"/>
      <c r="AC258" s="100"/>
      <c r="AD258" s="98"/>
      <c r="AE258" s="83"/>
      <c r="AF258" s="84"/>
      <c r="AG258" s="85"/>
      <c r="AH258" s="83"/>
      <c r="AI258" s="84"/>
      <c r="AJ258" s="84"/>
      <c r="AK258" s="85"/>
      <c r="AL258" s="83"/>
      <c r="AM258" s="84"/>
      <c r="AN258" s="85"/>
      <c r="AO258" s="60"/>
      <c r="AP258" s="61"/>
      <c r="AQ258" s="77">
        <f t="shared" si="8"/>
        <v>0</v>
      </c>
      <c r="AR258" s="37"/>
      <c r="AS258" s="78">
        <f t="shared" si="7"/>
        <v>0</v>
      </c>
      <c r="AT258" s="37"/>
      <c r="AU258" s="37"/>
      <c r="AV258" s="37"/>
      <c r="AW258" s="37"/>
      <c r="AX258" s="37"/>
    </row>
    <row r="259" spans="1:50" ht="20.100000000000001" customHeight="1" x14ac:dyDescent="0.25">
      <c r="A259" s="37"/>
      <c r="B259" s="58"/>
      <c r="C259" s="37"/>
      <c r="D259" s="97"/>
      <c r="E259" s="98"/>
      <c r="F259" s="101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3"/>
      <c r="T259" s="83"/>
      <c r="U259" s="85"/>
      <c r="V259" s="83"/>
      <c r="W259" s="85"/>
      <c r="X259" s="97"/>
      <c r="Y259" s="100"/>
      <c r="Z259" s="100"/>
      <c r="AA259" s="100"/>
      <c r="AB259" s="100"/>
      <c r="AC259" s="100"/>
      <c r="AD259" s="98"/>
      <c r="AE259" s="83"/>
      <c r="AF259" s="84"/>
      <c r="AG259" s="85"/>
      <c r="AH259" s="83"/>
      <c r="AI259" s="84"/>
      <c r="AJ259" s="84"/>
      <c r="AK259" s="85"/>
      <c r="AL259" s="83"/>
      <c r="AM259" s="84"/>
      <c r="AN259" s="85"/>
      <c r="AO259" s="60"/>
      <c r="AP259" s="61"/>
      <c r="AQ259" s="77">
        <f t="shared" si="8"/>
        <v>0</v>
      </c>
      <c r="AR259" s="37"/>
      <c r="AS259" s="78">
        <f t="shared" si="7"/>
        <v>0</v>
      </c>
      <c r="AT259" s="37"/>
      <c r="AU259" s="37"/>
      <c r="AV259" s="37"/>
      <c r="AW259" s="37"/>
      <c r="AX259" s="37"/>
    </row>
    <row r="260" spans="1:50" ht="20.100000000000001" customHeight="1" x14ac:dyDescent="0.25">
      <c r="A260" s="37"/>
      <c r="B260" s="58"/>
      <c r="C260" s="37"/>
      <c r="D260" s="97"/>
      <c r="E260" s="98"/>
      <c r="F260" s="101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3"/>
      <c r="T260" s="83"/>
      <c r="U260" s="85"/>
      <c r="V260" s="83"/>
      <c r="W260" s="85"/>
      <c r="X260" s="97"/>
      <c r="Y260" s="100"/>
      <c r="Z260" s="100"/>
      <c r="AA260" s="100"/>
      <c r="AB260" s="100"/>
      <c r="AC260" s="100"/>
      <c r="AD260" s="98"/>
      <c r="AE260" s="83"/>
      <c r="AF260" s="84"/>
      <c r="AG260" s="85"/>
      <c r="AH260" s="83"/>
      <c r="AI260" s="84"/>
      <c r="AJ260" s="84"/>
      <c r="AK260" s="85"/>
      <c r="AL260" s="83"/>
      <c r="AM260" s="84"/>
      <c r="AN260" s="85"/>
      <c r="AO260" s="60"/>
      <c r="AP260" s="61"/>
      <c r="AQ260" s="77">
        <f t="shared" si="8"/>
        <v>0</v>
      </c>
      <c r="AR260" s="37"/>
      <c r="AS260" s="78">
        <f t="shared" si="7"/>
        <v>0</v>
      </c>
      <c r="AT260" s="37"/>
      <c r="AU260" s="37"/>
      <c r="AV260" s="37"/>
      <c r="AW260" s="37"/>
      <c r="AX260" s="37"/>
    </row>
    <row r="261" spans="1:50" ht="20.100000000000001" customHeight="1" x14ac:dyDescent="0.25">
      <c r="A261" s="37"/>
      <c r="B261" s="58"/>
      <c r="C261" s="37"/>
      <c r="D261" s="97"/>
      <c r="E261" s="98"/>
      <c r="F261" s="101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3"/>
      <c r="T261" s="83"/>
      <c r="U261" s="85"/>
      <c r="V261" s="83"/>
      <c r="W261" s="85"/>
      <c r="X261" s="97"/>
      <c r="Y261" s="100"/>
      <c r="Z261" s="100"/>
      <c r="AA261" s="100"/>
      <c r="AB261" s="100"/>
      <c r="AC261" s="100"/>
      <c r="AD261" s="98"/>
      <c r="AE261" s="83"/>
      <c r="AF261" s="84"/>
      <c r="AG261" s="85"/>
      <c r="AH261" s="83"/>
      <c r="AI261" s="84"/>
      <c r="AJ261" s="84"/>
      <c r="AK261" s="85"/>
      <c r="AL261" s="83"/>
      <c r="AM261" s="84"/>
      <c r="AN261" s="85"/>
      <c r="AO261" s="60"/>
      <c r="AP261" s="61"/>
      <c r="AQ261" s="77">
        <f t="shared" si="8"/>
        <v>0</v>
      </c>
      <c r="AR261" s="37"/>
      <c r="AS261" s="78">
        <f t="shared" si="7"/>
        <v>0</v>
      </c>
      <c r="AT261" s="37"/>
      <c r="AU261" s="37"/>
      <c r="AV261" s="37"/>
      <c r="AW261" s="37"/>
      <c r="AX261" s="37"/>
    </row>
    <row r="262" spans="1:50" ht="20.100000000000001" customHeight="1" x14ac:dyDescent="0.25">
      <c r="A262" s="37"/>
      <c r="B262" s="58"/>
      <c r="C262" s="37"/>
      <c r="D262" s="97"/>
      <c r="E262" s="98"/>
      <c r="F262" s="101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3"/>
      <c r="T262" s="83"/>
      <c r="U262" s="85"/>
      <c r="V262" s="83"/>
      <c r="W262" s="85"/>
      <c r="X262" s="97"/>
      <c r="Y262" s="100"/>
      <c r="Z262" s="100"/>
      <c r="AA262" s="100"/>
      <c r="AB262" s="100"/>
      <c r="AC262" s="100"/>
      <c r="AD262" s="98"/>
      <c r="AE262" s="83"/>
      <c r="AF262" s="84"/>
      <c r="AG262" s="85"/>
      <c r="AH262" s="83"/>
      <c r="AI262" s="84"/>
      <c r="AJ262" s="84"/>
      <c r="AK262" s="85"/>
      <c r="AL262" s="83"/>
      <c r="AM262" s="84"/>
      <c r="AN262" s="85"/>
      <c r="AO262" s="60"/>
      <c r="AP262" s="61"/>
      <c r="AQ262" s="77">
        <f t="shared" ref="AQ262:AQ325" si="9">AP262-B262</f>
        <v>0</v>
      </c>
      <c r="AR262" s="37"/>
      <c r="AS262" s="78">
        <f t="shared" si="7"/>
        <v>0</v>
      </c>
      <c r="AT262" s="37"/>
      <c r="AU262" s="37"/>
      <c r="AV262" s="37"/>
      <c r="AW262" s="37"/>
      <c r="AX262" s="37"/>
    </row>
    <row r="263" spans="1:50" ht="20.100000000000001" customHeight="1" x14ac:dyDescent="0.25">
      <c r="A263" s="37"/>
      <c r="B263" s="58"/>
      <c r="C263" s="37"/>
      <c r="D263" s="97"/>
      <c r="E263" s="98"/>
      <c r="F263" s="101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3"/>
      <c r="T263" s="83"/>
      <c r="U263" s="85"/>
      <c r="V263" s="83"/>
      <c r="W263" s="85"/>
      <c r="X263" s="97"/>
      <c r="Y263" s="100"/>
      <c r="Z263" s="100"/>
      <c r="AA263" s="100"/>
      <c r="AB263" s="100"/>
      <c r="AC263" s="100"/>
      <c r="AD263" s="98"/>
      <c r="AE263" s="83"/>
      <c r="AF263" s="84"/>
      <c r="AG263" s="85"/>
      <c r="AH263" s="83"/>
      <c r="AI263" s="84"/>
      <c r="AJ263" s="84"/>
      <c r="AK263" s="85"/>
      <c r="AL263" s="83"/>
      <c r="AM263" s="84"/>
      <c r="AN263" s="85"/>
      <c r="AO263" s="60"/>
      <c r="AP263" s="61"/>
      <c r="AQ263" s="77">
        <f t="shared" si="9"/>
        <v>0</v>
      </c>
      <c r="AR263" s="37"/>
      <c r="AS263" s="78">
        <f t="shared" ref="AS263:AS326" si="10">AP263-AR263</f>
        <v>0</v>
      </c>
      <c r="AT263" s="37"/>
      <c r="AU263" s="37"/>
      <c r="AV263" s="37"/>
      <c r="AW263" s="37"/>
      <c r="AX263" s="37"/>
    </row>
    <row r="264" spans="1:50" ht="20.100000000000001" customHeight="1" x14ac:dyDescent="0.25">
      <c r="A264" s="37"/>
      <c r="B264" s="58"/>
      <c r="C264" s="37"/>
      <c r="D264" s="97"/>
      <c r="E264" s="98"/>
      <c r="F264" s="101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3"/>
      <c r="T264" s="83"/>
      <c r="U264" s="85"/>
      <c r="V264" s="83"/>
      <c r="W264" s="85"/>
      <c r="X264" s="97"/>
      <c r="Y264" s="100"/>
      <c r="Z264" s="100"/>
      <c r="AA264" s="100"/>
      <c r="AB264" s="100"/>
      <c r="AC264" s="100"/>
      <c r="AD264" s="98"/>
      <c r="AE264" s="83"/>
      <c r="AF264" s="84"/>
      <c r="AG264" s="85"/>
      <c r="AH264" s="83"/>
      <c r="AI264" s="84"/>
      <c r="AJ264" s="84"/>
      <c r="AK264" s="85"/>
      <c r="AL264" s="83"/>
      <c r="AM264" s="84"/>
      <c r="AN264" s="85"/>
      <c r="AO264" s="60"/>
      <c r="AP264" s="61"/>
      <c r="AQ264" s="77">
        <f t="shared" si="9"/>
        <v>0</v>
      </c>
      <c r="AR264" s="37"/>
      <c r="AS264" s="78">
        <f t="shared" si="10"/>
        <v>0</v>
      </c>
      <c r="AT264" s="37"/>
      <c r="AU264" s="37"/>
      <c r="AV264" s="37"/>
      <c r="AW264" s="37"/>
      <c r="AX264" s="37"/>
    </row>
    <row r="265" spans="1:50" ht="20.100000000000001" customHeight="1" x14ac:dyDescent="0.25">
      <c r="A265" s="37"/>
      <c r="B265" s="58"/>
      <c r="C265" s="37"/>
      <c r="D265" s="97"/>
      <c r="E265" s="98"/>
      <c r="F265" s="101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3"/>
      <c r="T265" s="83"/>
      <c r="U265" s="85"/>
      <c r="V265" s="83"/>
      <c r="W265" s="85"/>
      <c r="X265" s="97"/>
      <c r="Y265" s="100"/>
      <c r="Z265" s="100"/>
      <c r="AA265" s="100"/>
      <c r="AB265" s="100"/>
      <c r="AC265" s="100"/>
      <c r="AD265" s="98"/>
      <c r="AE265" s="83"/>
      <c r="AF265" s="84"/>
      <c r="AG265" s="85"/>
      <c r="AH265" s="83"/>
      <c r="AI265" s="84"/>
      <c r="AJ265" s="84"/>
      <c r="AK265" s="85"/>
      <c r="AL265" s="83"/>
      <c r="AM265" s="84"/>
      <c r="AN265" s="85"/>
      <c r="AO265" s="60"/>
      <c r="AP265" s="61"/>
      <c r="AQ265" s="77">
        <f t="shared" si="9"/>
        <v>0</v>
      </c>
      <c r="AR265" s="37"/>
      <c r="AS265" s="78">
        <f t="shared" si="10"/>
        <v>0</v>
      </c>
      <c r="AT265" s="37"/>
      <c r="AU265" s="37"/>
      <c r="AV265" s="37"/>
      <c r="AW265" s="37"/>
      <c r="AX265" s="37"/>
    </row>
    <row r="266" spans="1:50" ht="20.100000000000001" customHeight="1" x14ac:dyDescent="0.25">
      <c r="A266" s="37"/>
      <c r="B266" s="58"/>
      <c r="C266" s="37"/>
      <c r="D266" s="97"/>
      <c r="E266" s="98"/>
      <c r="F266" s="101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3"/>
      <c r="T266" s="83"/>
      <c r="U266" s="85"/>
      <c r="V266" s="83"/>
      <c r="W266" s="85"/>
      <c r="X266" s="97"/>
      <c r="Y266" s="100"/>
      <c r="Z266" s="100"/>
      <c r="AA266" s="100"/>
      <c r="AB266" s="100"/>
      <c r="AC266" s="100"/>
      <c r="AD266" s="98"/>
      <c r="AE266" s="83"/>
      <c r="AF266" s="84"/>
      <c r="AG266" s="85"/>
      <c r="AH266" s="83"/>
      <c r="AI266" s="84"/>
      <c r="AJ266" s="84"/>
      <c r="AK266" s="85"/>
      <c r="AL266" s="83"/>
      <c r="AM266" s="84"/>
      <c r="AN266" s="85"/>
      <c r="AO266" s="60"/>
      <c r="AP266" s="61"/>
      <c r="AQ266" s="77">
        <f t="shared" si="9"/>
        <v>0</v>
      </c>
      <c r="AR266" s="37"/>
      <c r="AS266" s="78">
        <f t="shared" si="10"/>
        <v>0</v>
      </c>
      <c r="AT266" s="37"/>
      <c r="AU266" s="37"/>
      <c r="AV266" s="37"/>
      <c r="AW266" s="37"/>
      <c r="AX266" s="37"/>
    </row>
    <row r="267" spans="1:50" ht="20.100000000000001" customHeight="1" x14ac:dyDescent="0.25">
      <c r="A267" s="37"/>
      <c r="B267" s="58"/>
      <c r="C267" s="37"/>
      <c r="D267" s="97"/>
      <c r="E267" s="98"/>
      <c r="F267" s="101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3"/>
      <c r="T267" s="83"/>
      <c r="U267" s="85"/>
      <c r="V267" s="83"/>
      <c r="W267" s="85"/>
      <c r="X267" s="97"/>
      <c r="Y267" s="100"/>
      <c r="Z267" s="100"/>
      <c r="AA267" s="100"/>
      <c r="AB267" s="100"/>
      <c r="AC267" s="100"/>
      <c r="AD267" s="98"/>
      <c r="AE267" s="83"/>
      <c r="AF267" s="84"/>
      <c r="AG267" s="85"/>
      <c r="AH267" s="83"/>
      <c r="AI267" s="84"/>
      <c r="AJ267" s="84"/>
      <c r="AK267" s="85"/>
      <c r="AL267" s="83"/>
      <c r="AM267" s="84"/>
      <c r="AN267" s="85"/>
      <c r="AO267" s="60"/>
      <c r="AP267" s="61"/>
      <c r="AQ267" s="77">
        <f t="shared" si="9"/>
        <v>0</v>
      </c>
      <c r="AR267" s="37"/>
      <c r="AS267" s="78">
        <f t="shared" si="10"/>
        <v>0</v>
      </c>
      <c r="AT267" s="37"/>
      <c r="AU267" s="37"/>
      <c r="AV267" s="37"/>
      <c r="AW267" s="37"/>
      <c r="AX267" s="37"/>
    </row>
    <row r="268" spans="1:50" ht="20.100000000000001" customHeight="1" x14ac:dyDescent="0.25">
      <c r="A268" s="37"/>
      <c r="B268" s="58"/>
      <c r="C268" s="37"/>
      <c r="D268" s="97"/>
      <c r="E268" s="98"/>
      <c r="F268" s="101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3"/>
      <c r="T268" s="83"/>
      <c r="U268" s="85"/>
      <c r="V268" s="83"/>
      <c r="W268" s="85"/>
      <c r="X268" s="97"/>
      <c r="Y268" s="100"/>
      <c r="Z268" s="100"/>
      <c r="AA268" s="100"/>
      <c r="AB268" s="100"/>
      <c r="AC268" s="100"/>
      <c r="AD268" s="98"/>
      <c r="AE268" s="83"/>
      <c r="AF268" s="84"/>
      <c r="AG268" s="85"/>
      <c r="AH268" s="83"/>
      <c r="AI268" s="84"/>
      <c r="AJ268" s="84"/>
      <c r="AK268" s="85"/>
      <c r="AL268" s="83"/>
      <c r="AM268" s="84"/>
      <c r="AN268" s="85"/>
      <c r="AO268" s="60"/>
      <c r="AP268" s="61"/>
      <c r="AQ268" s="77">
        <f t="shared" si="9"/>
        <v>0</v>
      </c>
      <c r="AR268" s="37"/>
      <c r="AS268" s="78">
        <f t="shared" si="10"/>
        <v>0</v>
      </c>
      <c r="AT268" s="37"/>
      <c r="AU268" s="37"/>
      <c r="AV268" s="37"/>
      <c r="AW268" s="37"/>
      <c r="AX268" s="37"/>
    </row>
    <row r="269" spans="1:50" ht="20.100000000000001" customHeight="1" x14ac:dyDescent="0.25">
      <c r="A269" s="37"/>
      <c r="B269" s="58"/>
      <c r="C269" s="37"/>
      <c r="D269" s="97"/>
      <c r="E269" s="98"/>
      <c r="F269" s="101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3"/>
      <c r="T269" s="83"/>
      <c r="U269" s="85"/>
      <c r="V269" s="83"/>
      <c r="W269" s="85"/>
      <c r="X269" s="97"/>
      <c r="Y269" s="100"/>
      <c r="Z269" s="100"/>
      <c r="AA269" s="100"/>
      <c r="AB269" s="100"/>
      <c r="AC269" s="100"/>
      <c r="AD269" s="98"/>
      <c r="AE269" s="83"/>
      <c r="AF269" s="84"/>
      <c r="AG269" s="85"/>
      <c r="AH269" s="83"/>
      <c r="AI269" s="84"/>
      <c r="AJ269" s="84"/>
      <c r="AK269" s="85"/>
      <c r="AL269" s="83"/>
      <c r="AM269" s="84"/>
      <c r="AN269" s="85"/>
      <c r="AO269" s="60"/>
      <c r="AP269" s="61"/>
      <c r="AQ269" s="77">
        <f t="shared" si="9"/>
        <v>0</v>
      </c>
      <c r="AR269" s="37"/>
      <c r="AS269" s="78">
        <f t="shared" si="10"/>
        <v>0</v>
      </c>
      <c r="AT269" s="37"/>
      <c r="AU269" s="37"/>
      <c r="AV269" s="37"/>
      <c r="AW269" s="37"/>
      <c r="AX269" s="37"/>
    </row>
    <row r="270" spans="1:50" ht="20.100000000000001" customHeight="1" x14ac:dyDescent="0.25">
      <c r="A270" s="37"/>
      <c r="B270" s="58"/>
      <c r="C270" s="37"/>
      <c r="D270" s="97"/>
      <c r="E270" s="98"/>
      <c r="F270" s="101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3"/>
      <c r="T270" s="83"/>
      <c r="U270" s="85"/>
      <c r="V270" s="83"/>
      <c r="W270" s="85"/>
      <c r="X270" s="97"/>
      <c r="Y270" s="100"/>
      <c r="Z270" s="100"/>
      <c r="AA270" s="100"/>
      <c r="AB270" s="100"/>
      <c r="AC270" s="100"/>
      <c r="AD270" s="98"/>
      <c r="AE270" s="83"/>
      <c r="AF270" s="84"/>
      <c r="AG270" s="85"/>
      <c r="AH270" s="83"/>
      <c r="AI270" s="84"/>
      <c r="AJ270" s="84"/>
      <c r="AK270" s="85"/>
      <c r="AL270" s="83"/>
      <c r="AM270" s="84"/>
      <c r="AN270" s="85"/>
      <c r="AO270" s="60"/>
      <c r="AP270" s="61"/>
      <c r="AQ270" s="77">
        <f t="shared" si="9"/>
        <v>0</v>
      </c>
      <c r="AR270" s="37"/>
      <c r="AS270" s="78">
        <f t="shared" si="10"/>
        <v>0</v>
      </c>
      <c r="AT270" s="37"/>
      <c r="AU270" s="37"/>
      <c r="AV270" s="37"/>
      <c r="AW270" s="37"/>
      <c r="AX270" s="37"/>
    </row>
    <row r="271" spans="1:50" ht="20.100000000000001" customHeight="1" x14ac:dyDescent="0.25">
      <c r="A271" s="37"/>
      <c r="B271" s="58"/>
      <c r="C271" s="37"/>
      <c r="D271" s="97"/>
      <c r="E271" s="98"/>
      <c r="F271" s="101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3"/>
      <c r="T271" s="83"/>
      <c r="U271" s="85"/>
      <c r="V271" s="83"/>
      <c r="W271" s="85"/>
      <c r="X271" s="97"/>
      <c r="Y271" s="100"/>
      <c r="Z271" s="100"/>
      <c r="AA271" s="100"/>
      <c r="AB271" s="100"/>
      <c r="AC271" s="100"/>
      <c r="AD271" s="98"/>
      <c r="AE271" s="83"/>
      <c r="AF271" s="84"/>
      <c r="AG271" s="85"/>
      <c r="AH271" s="83"/>
      <c r="AI271" s="84"/>
      <c r="AJ271" s="84"/>
      <c r="AK271" s="85"/>
      <c r="AL271" s="83"/>
      <c r="AM271" s="84"/>
      <c r="AN271" s="85"/>
      <c r="AO271" s="60"/>
      <c r="AP271" s="61"/>
      <c r="AQ271" s="77">
        <f t="shared" si="9"/>
        <v>0</v>
      </c>
      <c r="AR271" s="37"/>
      <c r="AS271" s="78">
        <f t="shared" si="10"/>
        <v>0</v>
      </c>
      <c r="AT271" s="37"/>
      <c r="AU271" s="37"/>
      <c r="AV271" s="37"/>
      <c r="AW271" s="37"/>
      <c r="AX271" s="37"/>
    </row>
    <row r="272" spans="1:50" ht="20.100000000000001" customHeight="1" x14ac:dyDescent="0.25">
      <c r="A272" s="37"/>
      <c r="B272" s="58"/>
      <c r="C272" s="37"/>
      <c r="D272" s="97"/>
      <c r="E272" s="98"/>
      <c r="F272" s="101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3"/>
      <c r="T272" s="83"/>
      <c r="U272" s="85"/>
      <c r="V272" s="83"/>
      <c r="W272" s="85"/>
      <c r="X272" s="97"/>
      <c r="Y272" s="100"/>
      <c r="Z272" s="100"/>
      <c r="AA272" s="100"/>
      <c r="AB272" s="100"/>
      <c r="AC272" s="100"/>
      <c r="AD272" s="98"/>
      <c r="AE272" s="83"/>
      <c r="AF272" s="84"/>
      <c r="AG272" s="85"/>
      <c r="AH272" s="83"/>
      <c r="AI272" s="84"/>
      <c r="AJ272" s="84"/>
      <c r="AK272" s="85"/>
      <c r="AL272" s="83"/>
      <c r="AM272" s="84"/>
      <c r="AN272" s="85"/>
      <c r="AO272" s="60"/>
      <c r="AP272" s="61"/>
      <c r="AQ272" s="77">
        <f t="shared" si="9"/>
        <v>0</v>
      </c>
      <c r="AR272" s="37"/>
      <c r="AS272" s="78">
        <f t="shared" si="10"/>
        <v>0</v>
      </c>
      <c r="AT272" s="37"/>
      <c r="AU272" s="37"/>
      <c r="AV272" s="37"/>
      <c r="AW272" s="37"/>
      <c r="AX272" s="37"/>
    </row>
    <row r="273" spans="1:50" ht="20.100000000000001" customHeight="1" x14ac:dyDescent="0.25">
      <c r="A273" s="37"/>
      <c r="B273" s="58"/>
      <c r="C273" s="37"/>
      <c r="D273" s="97"/>
      <c r="E273" s="98"/>
      <c r="F273" s="101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3"/>
      <c r="T273" s="83"/>
      <c r="U273" s="85"/>
      <c r="V273" s="83"/>
      <c r="W273" s="85"/>
      <c r="X273" s="97"/>
      <c r="Y273" s="100"/>
      <c r="Z273" s="100"/>
      <c r="AA273" s="100"/>
      <c r="AB273" s="100"/>
      <c r="AC273" s="100"/>
      <c r="AD273" s="98"/>
      <c r="AE273" s="83"/>
      <c r="AF273" s="84"/>
      <c r="AG273" s="85"/>
      <c r="AH273" s="83"/>
      <c r="AI273" s="84"/>
      <c r="AJ273" s="84"/>
      <c r="AK273" s="85"/>
      <c r="AL273" s="83"/>
      <c r="AM273" s="84"/>
      <c r="AN273" s="85"/>
      <c r="AO273" s="60"/>
      <c r="AP273" s="61"/>
      <c r="AQ273" s="77">
        <f t="shared" si="9"/>
        <v>0</v>
      </c>
      <c r="AR273" s="37"/>
      <c r="AS273" s="78">
        <f t="shared" si="10"/>
        <v>0</v>
      </c>
      <c r="AT273" s="37"/>
      <c r="AU273" s="37"/>
      <c r="AV273" s="37"/>
      <c r="AW273" s="37"/>
      <c r="AX273" s="37"/>
    </row>
    <row r="274" spans="1:50" ht="20.100000000000001" customHeight="1" x14ac:dyDescent="0.25">
      <c r="A274" s="37"/>
      <c r="B274" s="58"/>
      <c r="C274" s="37"/>
      <c r="D274" s="97"/>
      <c r="E274" s="98"/>
      <c r="F274" s="101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3"/>
      <c r="T274" s="83"/>
      <c r="U274" s="85"/>
      <c r="V274" s="83"/>
      <c r="W274" s="85"/>
      <c r="X274" s="97"/>
      <c r="Y274" s="100"/>
      <c r="Z274" s="100"/>
      <c r="AA274" s="100"/>
      <c r="AB274" s="100"/>
      <c r="AC274" s="100"/>
      <c r="AD274" s="98"/>
      <c r="AE274" s="83"/>
      <c r="AF274" s="84"/>
      <c r="AG274" s="85"/>
      <c r="AH274" s="83"/>
      <c r="AI274" s="84"/>
      <c r="AJ274" s="84"/>
      <c r="AK274" s="85"/>
      <c r="AL274" s="83"/>
      <c r="AM274" s="84"/>
      <c r="AN274" s="85"/>
      <c r="AO274" s="60"/>
      <c r="AP274" s="61"/>
      <c r="AQ274" s="77">
        <f t="shared" si="9"/>
        <v>0</v>
      </c>
      <c r="AR274" s="37"/>
      <c r="AS274" s="78">
        <f t="shared" si="10"/>
        <v>0</v>
      </c>
      <c r="AT274" s="37"/>
      <c r="AU274" s="37"/>
      <c r="AV274" s="37"/>
      <c r="AW274" s="37"/>
      <c r="AX274" s="37"/>
    </row>
    <row r="275" spans="1:50" ht="20.100000000000001" customHeight="1" x14ac:dyDescent="0.25">
      <c r="A275" s="37"/>
      <c r="B275" s="58"/>
      <c r="C275" s="37"/>
      <c r="D275" s="97"/>
      <c r="E275" s="98"/>
      <c r="F275" s="101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3"/>
      <c r="T275" s="83"/>
      <c r="U275" s="85"/>
      <c r="V275" s="83"/>
      <c r="W275" s="85"/>
      <c r="X275" s="97"/>
      <c r="Y275" s="100"/>
      <c r="Z275" s="100"/>
      <c r="AA275" s="100"/>
      <c r="AB275" s="100"/>
      <c r="AC275" s="100"/>
      <c r="AD275" s="98"/>
      <c r="AE275" s="83"/>
      <c r="AF275" s="84"/>
      <c r="AG275" s="85"/>
      <c r="AH275" s="83"/>
      <c r="AI275" s="84"/>
      <c r="AJ275" s="84"/>
      <c r="AK275" s="85"/>
      <c r="AL275" s="83"/>
      <c r="AM275" s="84"/>
      <c r="AN275" s="85"/>
      <c r="AO275" s="60"/>
      <c r="AP275" s="61"/>
      <c r="AQ275" s="77">
        <f t="shared" si="9"/>
        <v>0</v>
      </c>
      <c r="AR275" s="37"/>
      <c r="AS275" s="78">
        <f t="shared" si="10"/>
        <v>0</v>
      </c>
      <c r="AT275" s="37"/>
      <c r="AU275" s="37"/>
      <c r="AV275" s="37"/>
      <c r="AW275" s="37"/>
      <c r="AX275" s="37"/>
    </row>
    <row r="276" spans="1:50" ht="20.100000000000001" customHeight="1" x14ac:dyDescent="0.25">
      <c r="A276" s="37"/>
      <c r="B276" s="58"/>
      <c r="C276" s="37"/>
      <c r="D276" s="97"/>
      <c r="E276" s="98"/>
      <c r="F276" s="101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3"/>
      <c r="T276" s="83"/>
      <c r="U276" s="85"/>
      <c r="V276" s="83"/>
      <c r="W276" s="85"/>
      <c r="X276" s="97"/>
      <c r="Y276" s="100"/>
      <c r="Z276" s="100"/>
      <c r="AA276" s="100"/>
      <c r="AB276" s="100"/>
      <c r="AC276" s="100"/>
      <c r="AD276" s="98"/>
      <c r="AE276" s="83"/>
      <c r="AF276" s="84"/>
      <c r="AG276" s="85"/>
      <c r="AH276" s="83"/>
      <c r="AI276" s="84"/>
      <c r="AJ276" s="84"/>
      <c r="AK276" s="85"/>
      <c r="AL276" s="83"/>
      <c r="AM276" s="84"/>
      <c r="AN276" s="85"/>
      <c r="AO276" s="60"/>
      <c r="AP276" s="61"/>
      <c r="AQ276" s="77">
        <f t="shared" si="9"/>
        <v>0</v>
      </c>
      <c r="AR276" s="37"/>
      <c r="AS276" s="78">
        <f t="shared" si="10"/>
        <v>0</v>
      </c>
      <c r="AT276" s="37"/>
      <c r="AU276" s="37"/>
      <c r="AV276" s="37"/>
      <c r="AW276" s="37"/>
      <c r="AX276" s="37"/>
    </row>
    <row r="277" spans="1:50" ht="20.100000000000001" customHeight="1" x14ac:dyDescent="0.25">
      <c r="A277" s="37"/>
      <c r="B277" s="58"/>
      <c r="C277" s="37"/>
      <c r="D277" s="97"/>
      <c r="E277" s="98"/>
      <c r="F277" s="101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3"/>
      <c r="T277" s="83"/>
      <c r="U277" s="85"/>
      <c r="V277" s="83"/>
      <c r="W277" s="85"/>
      <c r="X277" s="97"/>
      <c r="Y277" s="100"/>
      <c r="Z277" s="100"/>
      <c r="AA277" s="100"/>
      <c r="AB277" s="100"/>
      <c r="AC277" s="100"/>
      <c r="AD277" s="98"/>
      <c r="AE277" s="83"/>
      <c r="AF277" s="84"/>
      <c r="AG277" s="85"/>
      <c r="AH277" s="83"/>
      <c r="AI277" s="84"/>
      <c r="AJ277" s="84"/>
      <c r="AK277" s="85"/>
      <c r="AL277" s="83"/>
      <c r="AM277" s="84"/>
      <c r="AN277" s="85"/>
      <c r="AO277" s="60"/>
      <c r="AP277" s="61"/>
      <c r="AQ277" s="77">
        <f t="shared" si="9"/>
        <v>0</v>
      </c>
      <c r="AR277" s="37"/>
      <c r="AS277" s="78">
        <f t="shared" si="10"/>
        <v>0</v>
      </c>
      <c r="AT277" s="37"/>
      <c r="AU277" s="37"/>
      <c r="AV277" s="37"/>
      <c r="AW277" s="37"/>
      <c r="AX277" s="37"/>
    </row>
    <row r="278" spans="1:50" ht="20.100000000000001" customHeight="1" x14ac:dyDescent="0.25">
      <c r="A278" s="37"/>
      <c r="B278" s="58"/>
      <c r="C278" s="37"/>
      <c r="D278" s="97"/>
      <c r="E278" s="98"/>
      <c r="F278" s="101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3"/>
      <c r="T278" s="83"/>
      <c r="U278" s="85"/>
      <c r="V278" s="83"/>
      <c r="W278" s="85"/>
      <c r="X278" s="97"/>
      <c r="Y278" s="100"/>
      <c r="Z278" s="100"/>
      <c r="AA278" s="100"/>
      <c r="AB278" s="100"/>
      <c r="AC278" s="100"/>
      <c r="AD278" s="98"/>
      <c r="AE278" s="83"/>
      <c r="AF278" s="84"/>
      <c r="AG278" s="85"/>
      <c r="AH278" s="83"/>
      <c r="AI278" s="84"/>
      <c r="AJ278" s="84"/>
      <c r="AK278" s="85"/>
      <c r="AL278" s="83"/>
      <c r="AM278" s="84"/>
      <c r="AN278" s="85"/>
      <c r="AO278" s="60"/>
      <c r="AP278" s="61"/>
      <c r="AQ278" s="77">
        <f t="shared" si="9"/>
        <v>0</v>
      </c>
      <c r="AR278" s="37"/>
      <c r="AS278" s="78">
        <f t="shared" si="10"/>
        <v>0</v>
      </c>
      <c r="AT278" s="37"/>
      <c r="AU278" s="37"/>
      <c r="AV278" s="37"/>
      <c r="AW278" s="37"/>
      <c r="AX278" s="37"/>
    </row>
    <row r="279" spans="1:50" ht="20.100000000000001" customHeight="1" x14ac:dyDescent="0.25">
      <c r="A279" s="37"/>
      <c r="B279" s="58"/>
      <c r="C279" s="37"/>
      <c r="D279" s="97"/>
      <c r="E279" s="98"/>
      <c r="F279" s="101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3"/>
      <c r="T279" s="83"/>
      <c r="U279" s="85"/>
      <c r="V279" s="83"/>
      <c r="W279" s="85"/>
      <c r="X279" s="97"/>
      <c r="Y279" s="100"/>
      <c r="Z279" s="100"/>
      <c r="AA279" s="100"/>
      <c r="AB279" s="100"/>
      <c r="AC279" s="100"/>
      <c r="AD279" s="98"/>
      <c r="AE279" s="83"/>
      <c r="AF279" s="84"/>
      <c r="AG279" s="85"/>
      <c r="AH279" s="83"/>
      <c r="AI279" s="84"/>
      <c r="AJ279" s="84"/>
      <c r="AK279" s="85"/>
      <c r="AL279" s="83"/>
      <c r="AM279" s="84"/>
      <c r="AN279" s="85"/>
      <c r="AO279" s="60"/>
      <c r="AP279" s="61"/>
      <c r="AQ279" s="77">
        <f t="shared" si="9"/>
        <v>0</v>
      </c>
      <c r="AR279" s="37"/>
      <c r="AS279" s="78">
        <f t="shared" si="10"/>
        <v>0</v>
      </c>
      <c r="AT279" s="37"/>
      <c r="AU279" s="37"/>
      <c r="AV279" s="37"/>
      <c r="AW279" s="37"/>
      <c r="AX279" s="37"/>
    </row>
    <row r="280" spans="1:50" ht="20.100000000000001" customHeight="1" x14ac:dyDescent="0.25">
      <c r="A280" s="37"/>
      <c r="B280" s="58"/>
      <c r="C280" s="37"/>
      <c r="D280" s="97"/>
      <c r="E280" s="98"/>
      <c r="F280" s="101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3"/>
      <c r="T280" s="83"/>
      <c r="U280" s="85"/>
      <c r="V280" s="83"/>
      <c r="W280" s="85"/>
      <c r="X280" s="97"/>
      <c r="Y280" s="100"/>
      <c r="Z280" s="100"/>
      <c r="AA280" s="100"/>
      <c r="AB280" s="100"/>
      <c r="AC280" s="100"/>
      <c r="AD280" s="98"/>
      <c r="AE280" s="83"/>
      <c r="AF280" s="84"/>
      <c r="AG280" s="85"/>
      <c r="AH280" s="83"/>
      <c r="AI280" s="84"/>
      <c r="AJ280" s="84"/>
      <c r="AK280" s="85"/>
      <c r="AL280" s="83"/>
      <c r="AM280" s="84"/>
      <c r="AN280" s="85"/>
      <c r="AO280" s="60"/>
      <c r="AP280" s="61"/>
      <c r="AQ280" s="77">
        <f t="shared" si="9"/>
        <v>0</v>
      </c>
      <c r="AR280" s="37"/>
      <c r="AS280" s="78">
        <f t="shared" si="10"/>
        <v>0</v>
      </c>
      <c r="AT280" s="37"/>
      <c r="AU280" s="37"/>
      <c r="AV280" s="37"/>
      <c r="AW280" s="37"/>
      <c r="AX280" s="37"/>
    </row>
    <row r="281" spans="1:50" ht="20.100000000000001" customHeight="1" x14ac:dyDescent="0.25">
      <c r="A281" s="37"/>
      <c r="B281" s="58"/>
      <c r="C281" s="37"/>
      <c r="D281" s="97"/>
      <c r="E281" s="98"/>
      <c r="F281" s="101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3"/>
      <c r="T281" s="83"/>
      <c r="U281" s="85"/>
      <c r="V281" s="83"/>
      <c r="W281" s="85"/>
      <c r="X281" s="97"/>
      <c r="Y281" s="100"/>
      <c r="Z281" s="100"/>
      <c r="AA281" s="100"/>
      <c r="AB281" s="100"/>
      <c r="AC281" s="100"/>
      <c r="AD281" s="98"/>
      <c r="AE281" s="83"/>
      <c r="AF281" s="84"/>
      <c r="AG281" s="85"/>
      <c r="AH281" s="83"/>
      <c r="AI281" s="84"/>
      <c r="AJ281" s="84"/>
      <c r="AK281" s="85"/>
      <c r="AL281" s="83"/>
      <c r="AM281" s="84"/>
      <c r="AN281" s="85"/>
      <c r="AO281" s="60"/>
      <c r="AP281" s="61"/>
      <c r="AQ281" s="77">
        <f t="shared" si="9"/>
        <v>0</v>
      </c>
      <c r="AR281" s="37"/>
      <c r="AS281" s="78">
        <f t="shared" si="10"/>
        <v>0</v>
      </c>
      <c r="AT281" s="37"/>
      <c r="AU281" s="37"/>
      <c r="AV281" s="37"/>
      <c r="AW281" s="37"/>
      <c r="AX281" s="37"/>
    </row>
    <row r="282" spans="1:50" ht="20.100000000000001" customHeight="1" x14ac:dyDescent="0.25">
      <c r="A282" s="37"/>
      <c r="B282" s="58"/>
      <c r="C282" s="37"/>
      <c r="D282" s="97"/>
      <c r="E282" s="98"/>
      <c r="F282" s="101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3"/>
      <c r="T282" s="83"/>
      <c r="U282" s="85"/>
      <c r="V282" s="83"/>
      <c r="W282" s="85"/>
      <c r="X282" s="97"/>
      <c r="Y282" s="100"/>
      <c r="Z282" s="100"/>
      <c r="AA282" s="100"/>
      <c r="AB282" s="100"/>
      <c r="AC282" s="100"/>
      <c r="AD282" s="98"/>
      <c r="AE282" s="83"/>
      <c r="AF282" s="84"/>
      <c r="AG282" s="85"/>
      <c r="AH282" s="83"/>
      <c r="AI282" s="84"/>
      <c r="AJ282" s="84"/>
      <c r="AK282" s="85"/>
      <c r="AL282" s="83"/>
      <c r="AM282" s="84"/>
      <c r="AN282" s="85"/>
      <c r="AO282" s="60"/>
      <c r="AP282" s="61"/>
      <c r="AQ282" s="77">
        <f t="shared" si="9"/>
        <v>0</v>
      </c>
      <c r="AR282" s="37"/>
      <c r="AS282" s="78">
        <f t="shared" si="10"/>
        <v>0</v>
      </c>
      <c r="AT282" s="37"/>
      <c r="AU282" s="37"/>
      <c r="AV282" s="37"/>
      <c r="AW282" s="37"/>
      <c r="AX282" s="37"/>
    </row>
    <row r="283" spans="1:50" ht="20.100000000000001" customHeight="1" x14ac:dyDescent="0.25">
      <c r="A283" s="37"/>
      <c r="B283" s="58"/>
      <c r="C283" s="37"/>
      <c r="D283" s="97"/>
      <c r="E283" s="98"/>
      <c r="F283" s="101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3"/>
      <c r="T283" s="83"/>
      <c r="U283" s="85"/>
      <c r="V283" s="83"/>
      <c r="W283" s="85"/>
      <c r="X283" s="97"/>
      <c r="Y283" s="100"/>
      <c r="Z283" s="100"/>
      <c r="AA283" s="100"/>
      <c r="AB283" s="100"/>
      <c r="AC283" s="100"/>
      <c r="AD283" s="98"/>
      <c r="AE283" s="83"/>
      <c r="AF283" s="84"/>
      <c r="AG283" s="85"/>
      <c r="AH283" s="83"/>
      <c r="AI283" s="84"/>
      <c r="AJ283" s="84"/>
      <c r="AK283" s="85"/>
      <c r="AL283" s="83"/>
      <c r="AM283" s="84"/>
      <c r="AN283" s="85"/>
      <c r="AO283" s="60"/>
      <c r="AP283" s="61"/>
      <c r="AQ283" s="77">
        <f t="shared" si="9"/>
        <v>0</v>
      </c>
      <c r="AR283" s="37"/>
      <c r="AS283" s="78">
        <f t="shared" si="10"/>
        <v>0</v>
      </c>
      <c r="AT283" s="37"/>
      <c r="AU283" s="37"/>
      <c r="AV283" s="37"/>
      <c r="AW283" s="37"/>
      <c r="AX283" s="37"/>
    </row>
    <row r="284" spans="1:50" ht="20.100000000000001" customHeight="1" x14ac:dyDescent="0.25">
      <c r="A284" s="37"/>
      <c r="B284" s="58"/>
      <c r="C284" s="37"/>
      <c r="D284" s="97"/>
      <c r="E284" s="98"/>
      <c r="F284" s="101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3"/>
      <c r="T284" s="83"/>
      <c r="U284" s="85"/>
      <c r="V284" s="83"/>
      <c r="W284" s="85"/>
      <c r="X284" s="97"/>
      <c r="Y284" s="100"/>
      <c r="Z284" s="100"/>
      <c r="AA284" s="100"/>
      <c r="AB284" s="100"/>
      <c r="AC284" s="100"/>
      <c r="AD284" s="98"/>
      <c r="AE284" s="83"/>
      <c r="AF284" s="84"/>
      <c r="AG284" s="85"/>
      <c r="AH284" s="83"/>
      <c r="AI284" s="84"/>
      <c r="AJ284" s="84"/>
      <c r="AK284" s="85"/>
      <c r="AL284" s="83"/>
      <c r="AM284" s="84"/>
      <c r="AN284" s="85"/>
      <c r="AO284" s="60"/>
      <c r="AP284" s="61"/>
      <c r="AQ284" s="77">
        <f t="shared" si="9"/>
        <v>0</v>
      </c>
      <c r="AR284" s="37"/>
      <c r="AS284" s="78">
        <f t="shared" si="10"/>
        <v>0</v>
      </c>
      <c r="AT284" s="37"/>
      <c r="AU284" s="37"/>
      <c r="AV284" s="37"/>
      <c r="AW284" s="37"/>
      <c r="AX284" s="37"/>
    </row>
    <row r="285" spans="1:50" ht="20.100000000000001" customHeight="1" x14ac:dyDescent="0.25">
      <c r="A285" s="37"/>
      <c r="B285" s="58"/>
      <c r="C285" s="37"/>
      <c r="D285" s="97"/>
      <c r="E285" s="98"/>
      <c r="F285" s="101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3"/>
      <c r="T285" s="83"/>
      <c r="U285" s="85"/>
      <c r="V285" s="83"/>
      <c r="W285" s="85"/>
      <c r="X285" s="97"/>
      <c r="Y285" s="100"/>
      <c r="Z285" s="100"/>
      <c r="AA285" s="100"/>
      <c r="AB285" s="100"/>
      <c r="AC285" s="100"/>
      <c r="AD285" s="98"/>
      <c r="AE285" s="83"/>
      <c r="AF285" s="84"/>
      <c r="AG285" s="85"/>
      <c r="AH285" s="83"/>
      <c r="AI285" s="84"/>
      <c r="AJ285" s="84"/>
      <c r="AK285" s="85"/>
      <c r="AL285" s="83"/>
      <c r="AM285" s="84"/>
      <c r="AN285" s="85"/>
      <c r="AO285" s="60"/>
      <c r="AP285" s="61"/>
      <c r="AQ285" s="77">
        <f t="shared" si="9"/>
        <v>0</v>
      </c>
      <c r="AR285" s="37"/>
      <c r="AS285" s="78">
        <f t="shared" si="10"/>
        <v>0</v>
      </c>
      <c r="AT285" s="37"/>
      <c r="AU285" s="37"/>
      <c r="AV285" s="37"/>
      <c r="AW285" s="37"/>
      <c r="AX285" s="37"/>
    </row>
    <row r="286" spans="1:50" ht="20.100000000000001" customHeight="1" x14ac:dyDescent="0.25">
      <c r="A286" s="37"/>
      <c r="B286" s="58"/>
      <c r="C286" s="37"/>
      <c r="D286" s="97"/>
      <c r="E286" s="98"/>
      <c r="F286" s="101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3"/>
      <c r="T286" s="83"/>
      <c r="U286" s="85"/>
      <c r="V286" s="83"/>
      <c r="W286" s="85"/>
      <c r="X286" s="97"/>
      <c r="Y286" s="100"/>
      <c r="Z286" s="100"/>
      <c r="AA286" s="100"/>
      <c r="AB286" s="100"/>
      <c r="AC286" s="100"/>
      <c r="AD286" s="98"/>
      <c r="AE286" s="83"/>
      <c r="AF286" s="84"/>
      <c r="AG286" s="85"/>
      <c r="AH286" s="83"/>
      <c r="AI286" s="84"/>
      <c r="AJ286" s="84"/>
      <c r="AK286" s="85"/>
      <c r="AL286" s="83"/>
      <c r="AM286" s="84"/>
      <c r="AN286" s="85"/>
      <c r="AO286" s="60"/>
      <c r="AP286" s="61"/>
      <c r="AQ286" s="77">
        <f t="shared" si="9"/>
        <v>0</v>
      </c>
      <c r="AR286" s="37"/>
      <c r="AS286" s="78">
        <f t="shared" si="10"/>
        <v>0</v>
      </c>
      <c r="AT286" s="37"/>
      <c r="AU286" s="37"/>
      <c r="AV286" s="37"/>
      <c r="AW286" s="37"/>
      <c r="AX286" s="37"/>
    </row>
    <row r="287" spans="1:50" ht="20.100000000000001" customHeight="1" x14ac:dyDescent="0.25">
      <c r="A287" s="37"/>
      <c r="B287" s="58"/>
      <c r="C287" s="37"/>
      <c r="D287" s="97"/>
      <c r="E287" s="98"/>
      <c r="F287" s="101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3"/>
      <c r="T287" s="83"/>
      <c r="U287" s="85"/>
      <c r="V287" s="83"/>
      <c r="W287" s="85"/>
      <c r="X287" s="97"/>
      <c r="Y287" s="100"/>
      <c r="Z287" s="100"/>
      <c r="AA287" s="100"/>
      <c r="AB287" s="100"/>
      <c r="AC287" s="100"/>
      <c r="AD287" s="98"/>
      <c r="AE287" s="83"/>
      <c r="AF287" s="84"/>
      <c r="AG287" s="85"/>
      <c r="AH287" s="83"/>
      <c r="AI287" s="84"/>
      <c r="AJ287" s="84"/>
      <c r="AK287" s="85"/>
      <c r="AL287" s="83"/>
      <c r="AM287" s="84"/>
      <c r="AN287" s="85"/>
      <c r="AO287" s="60"/>
      <c r="AP287" s="61"/>
      <c r="AQ287" s="77">
        <f t="shared" si="9"/>
        <v>0</v>
      </c>
      <c r="AR287" s="37"/>
      <c r="AS287" s="78">
        <f t="shared" si="10"/>
        <v>0</v>
      </c>
      <c r="AT287" s="37"/>
      <c r="AU287" s="37"/>
      <c r="AV287" s="37"/>
      <c r="AW287" s="37"/>
      <c r="AX287" s="37"/>
    </row>
    <row r="288" spans="1:50" ht="20.100000000000001" customHeight="1" x14ac:dyDescent="0.25">
      <c r="A288" s="37"/>
      <c r="B288" s="58"/>
      <c r="C288" s="37"/>
      <c r="D288" s="97"/>
      <c r="E288" s="98"/>
      <c r="F288" s="101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3"/>
      <c r="T288" s="83"/>
      <c r="U288" s="85"/>
      <c r="V288" s="83"/>
      <c r="W288" s="85"/>
      <c r="X288" s="97"/>
      <c r="Y288" s="100"/>
      <c r="Z288" s="100"/>
      <c r="AA288" s="100"/>
      <c r="AB288" s="100"/>
      <c r="AC288" s="100"/>
      <c r="AD288" s="98"/>
      <c r="AE288" s="83"/>
      <c r="AF288" s="84"/>
      <c r="AG288" s="85"/>
      <c r="AH288" s="83"/>
      <c r="AI288" s="84"/>
      <c r="AJ288" s="84"/>
      <c r="AK288" s="85"/>
      <c r="AL288" s="83"/>
      <c r="AM288" s="84"/>
      <c r="AN288" s="85"/>
      <c r="AO288" s="60"/>
      <c r="AP288" s="61"/>
      <c r="AQ288" s="77">
        <f t="shared" si="9"/>
        <v>0</v>
      </c>
      <c r="AR288" s="37"/>
      <c r="AS288" s="78">
        <f t="shared" si="10"/>
        <v>0</v>
      </c>
      <c r="AT288" s="37"/>
      <c r="AU288" s="37"/>
      <c r="AV288" s="37"/>
      <c r="AW288" s="37"/>
      <c r="AX288" s="37"/>
    </row>
    <row r="289" spans="1:50" ht="20.100000000000001" customHeight="1" x14ac:dyDescent="0.25">
      <c r="A289" s="37"/>
      <c r="B289" s="58"/>
      <c r="C289" s="37"/>
      <c r="D289" s="97"/>
      <c r="E289" s="98"/>
      <c r="F289" s="101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3"/>
      <c r="T289" s="83"/>
      <c r="U289" s="85"/>
      <c r="V289" s="83"/>
      <c r="W289" s="85"/>
      <c r="X289" s="97"/>
      <c r="Y289" s="100"/>
      <c r="Z289" s="100"/>
      <c r="AA289" s="100"/>
      <c r="AB289" s="100"/>
      <c r="AC289" s="100"/>
      <c r="AD289" s="98"/>
      <c r="AE289" s="83"/>
      <c r="AF289" s="84"/>
      <c r="AG289" s="85"/>
      <c r="AH289" s="83"/>
      <c r="AI289" s="84"/>
      <c r="AJ289" s="84"/>
      <c r="AK289" s="85"/>
      <c r="AL289" s="83"/>
      <c r="AM289" s="84"/>
      <c r="AN289" s="85"/>
      <c r="AO289" s="60"/>
      <c r="AP289" s="61"/>
      <c r="AQ289" s="77">
        <f t="shared" si="9"/>
        <v>0</v>
      </c>
      <c r="AR289" s="37"/>
      <c r="AS289" s="78">
        <f t="shared" si="10"/>
        <v>0</v>
      </c>
      <c r="AT289" s="37"/>
      <c r="AU289" s="37"/>
      <c r="AV289" s="37"/>
      <c r="AW289" s="37"/>
      <c r="AX289" s="37"/>
    </row>
    <row r="290" spans="1:50" ht="20.100000000000001" customHeight="1" x14ac:dyDescent="0.25">
      <c r="A290" s="37"/>
      <c r="B290" s="58"/>
      <c r="C290" s="37"/>
      <c r="D290" s="97"/>
      <c r="E290" s="98"/>
      <c r="F290" s="101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3"/>
      <c r="T290" s="83"/>
      <c r="U290" s="85"/>
      <c r="V290" s="83"/>
      <c r="W290" s="85"/>
      <c r="X290" s="97"/>
      <c r="Y290" s="100"/>
      <c r="Z290" s="100"/>
      <c r="AA290" s="100"/>
      <c r="AB290" s="100"/>
      <c r="AC290" s="100"/>
      <c r="AD290" s="98"/>
      <c r="AE290" s="83"/>
      <c r="AF290" s="84"/>
      <c r="AG290" s="85"/>
      <c r="AH290" s="83"/>
      <c r="AI290" s="84"/>
      <c r="AJ290" s="84"/>
      <c r="AK290" s="85"/>
      <c r="AL290" s="83"/>
      <c r="AM290" s="84"/>
      <c r="AN290" s="85"/>
      <c r="AO290" s="60"/>
      <c r="AP290" s="61"/>
      <c r="AQ290" s="77">
        <f t="shared" si="9"/>
        <v>0</v>
      </c>
      <c r="AR290" s="37"/>
      <c r="AS290" s="78">
        <f t="shared" si="10"/>
        <v>0</v>
      </c>
      <c r="AT290" s="37"/>
      <c r="AU290" s="37"/>
      <c r="AV290" s="37"/>
      <c r="AW290" s="37"/>
      <c r="AX290" s="37"/>
    </row>
    <row r="291" spans="1:50" ht="20.100000000000001" customHeight="1" x14ac:dyDescent="0.25">
      <c r="A291" s="37"/>
      <c r="B291" s="58"/>
      <c r="C291" s="37"/>
      <c r="D291" s="97"/>
      <c r="E291" s="98"/>
      <c r="F291" s="101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3"/>
      <c r="T291" s="83"/>
      <c r="U291" s="85"/>
      <c r="V291" s="83"/>
      <c r="W291" s="85"/>
      <c r="X291" s="97"/>
      <c r="Y291" s="100"/>
      <c r="Z291" s="100"/>
      <c r="AA291" s="100"/>
      <c r="AB291" s="100"/>
      <c r="AC291" s="100"/>
      <c r="AD291" s="98"/>
      <c r="AE291" s="83"/>
      <c r="AF291" s="84"/>
      <c r="AG291" s="85"/>
      <c r="AH291" s="83"/>
      <c r="AI291" s="84"/>
      <c r="AJ291" s="84"/>
      <c r="AK291" s="85"/>
      <c r="AL291" s="83"/>
      <c r="AM291" s="84"/>
      <c r="AN291" s="85"/>
      <c r="AO291" s="60"/>
      <c r="AP291" s="61"/>
      <c r="AQ291" s="77">
        <f t="shared" si="9"/>
        <v>0</v>
      </c>
      <c r="AR291" s="37"/>
      <c r="AS291" s="78">
        <f t="shared" si="10"/>
        <v>0</v>
      </c>
      <c r="AT291" s="37"/>
      <c r="AU291" s="37"/>
      <c r="AV291" s="37"/>
      <c r="AW291" s="37"/>
      <c r="AX291" s="37"/>
    </row>
    <row r="292" spans="1:50" ht="20.100000000000001" customHeight="1" x14ac:dyDescent="0.25">
      <c r="A292" s="37"/>
      <c r="B292" s="58"/>
      <c r="C292" s="37"/>
      <c r="D292" s="97"/>
      <c r="E292" s="98"/>
      <c r="F292" s="101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3"/>
      <c r="T292" s="83"/>
      <c r="U292" s="85"/>
      <c r="V292" s="83"/>
      <c r="W292" s="85"/>
      <c r="X292" s="97"/>
      <c r="Y292" s="100"/>
      <c r="Z292" s="100"/>
      <c r="AA292" s="100"/>
      <c r="AB292" s="100"/>
      <c r="AC292" s="100"/>
      <c r="AD292" s="98"/>
      <c r="AE292" s="83"/>
      <c r="AF292" s="84"/>
      <c r="AG292" s="85"/>
      <c r="AH292" s="83"/>
      <c r="AI292" s="84"/>
      <c r="AJ292" s="84"/>
      <c r="AK292" s="85"/>
      <c r="AL292" s="83"/>
      <c r="AM292" s="84"/>
      <c r="AN292" s="85"/>
      <c r="AO292" s="60"/>
      <c r="AP292" s="61"/>
      <c r="AQ292" s="77">
        <f t="shared" si="9"/>
        <v>0</v>
      </c>
      <c r="AR292" s="37"/>
      <c r="AS292" s="78">
        <f t="shared" si="10"/>
        <v>0</v>
      </c>
      <c r="AT292" s="37"/>
      <c r="AU292" s="37"/>
      <c r="AV292" s="37"/>
      <c r="AW292" s="37"/>
      <c r="AX292" s="37"/>
    </row>
    <row r="293" spans="1:50" ht="20.100000000000001" customHeight="1" x14ac:dyDescent="0.25">
      <c r="A293" s="37"/>
      <c r="B293" s="58"/>
      <c r="C293" s="37"/>
      <c r="D293" s="97"/>
      <c r="E293" s="98"/>
      <c r="F293" s="101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3"/>
      <c r="T293" s="83"/>
      <c r="U293" s="85"/>
      <c r="V293" s="83"/>
      <c r="W293" s="85"/>
      <c r="X293" s="97"/>
      <c r="Y293" s="100"/>
      <c r="Z293" s="100"/>
      <c r="AA293" s="100"/>
      <c r="AB293" s="100"/>
      <c r="AC293" s="100"/>
      <c r="AD293" s="98"/>
      <c r="AE293" s="83"/>
      <c r="AF293" s="84"/>
      <c r="AG293" s="85"/>
      <c r="AH293" s="83"/>
      <c r="AI293" s="84"/>
      <c r="AJ293" s="84"/>
      <c r="AK293" s="85"/>
      <c r="AL293" s="83"/>
      <c r="AM293" s="84"/>
      <c r="AN293" s="85"/>
      <c r="AO293" s="60"/>
      <c r="AP293" s="61"/>
      <c r="AQ293" s="77">
        <f t="shared" si="9"/>
        <v>0</v>
      </c>
      <c r="AR293" s="37"/>
      <c r="AS293" s="78">
        <f t="shared" si="10"/>
        <v>0</v>
      </c>
      <c r="AT293" s="37"/>
      <c r="AU293" s="37"/>
      <c r="AV293" s="37"/>
      <c r="AW293" s="37"/>
      <c r="AX293" s="37"/>
    </row>
    <row r="294" spans="1:50" ht="20.100000000000001" customHeight="1" x14ac:dyDescent="0.25">
      <c r="A294" s="37"/>
      <c r="B294" s="58"/>
      <c r="C294" s="37"/>
      <c r="D294" s="97"/>
      <c r="E294" s="98"/>
      <c r="F294" s="101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3"/>
      <c r="T294" s="83"/>
      <c r="U294" s="85"/>
      <c r="V294" s="83"/>
      <c r="W294" s="85"/>
      <c r="X294" s="97"/>
      <c r="Y294" s="100"/>
      <c r="Z294" s="100"/>
      <c r="AA294" s="100"/>
      <c r="AB294" s="100"/>
      <c r="AC294" s="100"/>
      <c r="AD294" s="98"/>
      <c r="AE294" s="83"/>
      <c r="AF294" s="84"/>
      <c r="AG294" s="85"/>
      <c r="AH294" s="83"/>
      <c r="AI294" s="84"/>
      <c r="AJ294" s="84"/>
      <c r="AK294" s="85"/>
      <c r="AL294" s="83"/>
      <c r="AM294" s="84"/>
      <c r="AN294" s="85"/>
      <c r="AO294" s="60"/>
      <c r="AP294" s="61"/>
      <c r="AQ294" s="77">
        <f t="shared" si="9"/>
        <v>0</v>
      </c>
      <c r="AR294" s="37"/>
      <c r="AS294" s="78">
        <f t="shared" si="10"/>
        <v>0</v>
      </c>
      <c r="AT294" s="37"/>
      <c r="AU294" s="37"/>
      <c r="AV294" s="37"/>
      <c r="AW294" s="37"/>
      <c r="AX294" s="37"/>
    </row>
    <row r="295" spans="1:50" ht="20.100000000000001" customHeight="1" x14ac:dyDescent="0.25">
      <c r="A295" s="37"/>
      <c r="B295" s="58"/>
      <c r="C295" s="37"/>
      <c r="D295" s="97"/>
      <c r="E295" s="98"/>
      <c r="F295" s="101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3"/>
      <c r="T295" s="83"/>
      <c r="U295" s="85"/>
      <c r="V295" s="83"/>
      <c r="W295" s="85"/>
      <c r="X295" s="97"/>
      <c r="Y295" s="100"/>
      <c r="Z295" s="100"/>
      <c r="AA295" s="100"/>
      <c r="AB295" s="100"/>
      <c r="AC295" s="100"/>
      <c r="AD295" s="98"/>
      <c r="AE295" s="83"/>
      <c r="AF295" s="84"/>
      <c r="AG295" s="85"/>
      <c r="AH295" s="83"/>
      <c r="AI295" s="84"/>
      <c r="AJ295" s="84"/>
      <c r="AK295" s="85"/>
      <c r="AL295" s="83"/>
      <c r="AM295" s="84"/>
      <c r="AN295" s="85"/>
      <c r="AO295" s="60"/>
      <c r="AP295" s="61"/>
      <c r="AQ295" s="77">
        <f t="shared" si="9"/>
        <v>0</v>
      </c>
      <c r="AR295" s="37"/>
      <c r="AS295" s="78">
        <f t="shared" si="10"/>
        <v>0</v>
      </c>
      <c r="AT295" s="37"/>
      <c r="AU295" s="37"/>
      <c r="AV295" s="37"/>
      <c r="AW295" s="37"/>
      <c r="AX295" s="37"/>
    </row>
    <row r="296" spans="1:50" ht="20.100000000000001" customHeight="1" x14ac:dyDescent="0.25">
      <c r="A296" s="37"/>
      <c r="B296" s="58"/>
      <c r="C296" s="37"/>
      <c r="D296" s="97"/>
      <c r="E296" s="98"/>
      <c r="F296" s="101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3"/>
      <c r="T296" s="83"/>
      <c r="U296" s="85"/>
      <c r="V296" s="83"/>
      <c r="W296" s="85"/>
      <c r="X296" s="97"/>
      <c r="Y296" s="100"/>
      <c r="Z296" s="100"/>
      <c r="AA296" s="100"/>
      <c r="AB296" s="100"/>
      <c r="AC296" s="100"/>
      <c r="AD296" s="98"/>
      <c r="AE296" s="83"/>
      <c r="AF296" s="84"/>
      <c r="AG296" s="85"/>
      <c r="AH296" s="83"/>
      <c r="AI296" s="84"/>
      <c r="AJ296" s="84"/>
      <c r="AK296" s="85"/>
      <c r="AL296" s="83"/>
      <c r="AM296" s="84"/>
      <c r="AN296" s="85"/>
      <c r="AO296" s="60"/>
      <c r="AP296" s="61"/>
      <c r="AQ296" s="77">
        <f t="shared" si="9"/>
        <v>0</v>
      </c>
      <c r="AR296" s="37"/>
      <c r="AS296" s="78">
        <f t="shared" si="10"/>
        <v>0</v>
      </c>
      <c r="AT296" s="37"/>
      <c r="AU296" s="37"/>
      <c r="AV296" s="37"/>
      <c r="AW296" s="37"/>
      <c r="AX296" s="37"/>
    </row>
    <row r="297" spans="1:50" ht="20.100000000000001" customHeight="1" x14ac:dyDescent="0.25">
      <c r="A297" s="37"/>
      <c r="B297" s="58"/>
      <c r="C297" s="37"/>
      <c r="D297" s="97"/>
      <c r="E297" s="98"/>
      <c r="F297" s="101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3"/>
      <c r="T297" s="83"/>
      <c r="U297" s="85"/>
      <c r="V297" s="83"/>
      <c r="W297" s="85"/>
      <c r="X297" s="97"/>
      <c r="Y297" s="100"/>
      <c r="Z297" s="100"/>
      <c r="AA297" s="100"/>
      <c r="AB297" s="100"/>
      <c r="AC297" s="100"/>
      <c r="AD297" s="98"/>
      <c r="AE297" s="83"/>
      <c r="AF297" s="84"/>
      <c r="AG297" s="85"/>
      <c r="AH297" s="83"/>
      <c r="AI297" s="84"/>
      <c r="AJ297" s="84"/>
      <c r="AK297" s="85"/>
      <c r="AL297" s="83"/>
      <c r="AM297" s="84"/>
      <c r="AN297" s="85"/>
      <c r="AO297" s="60"/>
      <c r="AP297" s="61"/>
      <c r="AQ297" s="77">
        <f t="shared" si="9"/>
        <v>0</v>
      </c>
      <c r="AR297" s="37"/>
      <c r="AS297" s="78">
        <f t="shared" si="10"/>
        <v>0</v>
      </c>
      <c r="AT297" s="37"/>
      <c r="AU297" s="37"/>
      <c r="AV297" s="37"/>
      <c r="AW297" s="37"/>
      <c r="AX297" s="37"/>
    </row>
    <row r="298" spans="1:50" ht="20.100000000000001" customHeight="1" x14ac:dyDescent="0.25">
      <c r="A298" s="37"/>
      <c r="B298" s="58"/>
      <c r="C298" s="37"/>
      <c r="D298" s="97"/>
      <c r="E298" s="98"/>
      <c r="F298" s="101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3"/>
      <c r="T298" s="83"/>
      <c r="U298" s="85"/>
      <c r="V298" s="83"/>
      <c r="W298" s="85"/>
      <c r="X298" s="97"/>
      <c r="Y298" s="100"/>
      <c r="Z298" s="100"/>
      <c r="AA298" s="100"/>
      <c r="AB298" s="100"/>
      <c r="AC298" s="100"/>
      <c r="AD298" s="98"/>
      <c r="AE298" s="83"/>
      <c r="AF298" s="84"/>
      <c r="AG298" s="85"/>
      <c r="AH298" s="83"/>
      <c r="AI298" s="84"/>
      <c r="AJ298" s="84"/>
      <c r="AK298" s="85"/>
      <c r="AL298" s="83"/>
      <c r="AM298" s="84"/>
      <c r="AN298" s="85"/>
      <c r="AO298" s="60"/>
      <c r="AP298" s="61"/>
      <c r="AQ298" s="77">
        <f t="shared" si="9"/>
        <v>0</v>
      </c>
      <c r="AR298" s="37"/>
      <c r="AS298" s="78">
        <f t="shared" si="10"/>
        <v>0</v>
      </c>
      <c r="AT298" s="37"/>
      <c r="AU298" s="37"/>
      <c r="AV298" s="37"/>
      <c r="AW298" s="37"/>
      <c r="AX298" s="37"/>
    </row>
    <row r="299" spans="1:50" ht="20.100000000000001" customHeight="1" x14ac:dyDescent="0.25">
      <c r="A299" s="37"/>
      <c r="B299" s="58"/>
      <c r="C299" s="37"/>
      <c r="D299" s="97"/>
      <c r="E299" s="98"/>
      <c r="F299" s="101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3"/>
      <c r="T299" s="83"/>
      <c r="U299" s="85"/>
      <c r="V299" s="83"/>
      <c r="W299" s="85"/>
      <c r="X299" s="97"/>
      <c r="Y299" s="100"/>
      <c r="Z299" s="100"/>
      <c r="AA299" s="100"/>
      <c r="AB299" s="100"/>
      <c r="AC299" s="100"/>
      <c r="AD299" s="98"/>
      <c r="AE299" s="83"/>
      <c r="AF299" s="84"/>
      <c r="AG299" s="85"/>
      <c r="AH299" s="83"/>
      <c r="AI299" s="84"/>
      <c r="AJ299" s="84"/>
      <c r="AK299" s="85"/>
      <c r="AL299" s="83"/>
      <c r="AM299" s="84"/>
      <c r="AN299" s="85"/>
      <c r="AO299" s="60"/>
      <c r="AP299" s="61"/>
      <c r="AQ299" s="77">
        <f t="shared" si="9"/>
        <v>0</v>
      </c>
      <c r="AR299" s="37"/>
      <c r="AS299" s="78">
        <f t="shared" si="10"/>
        <v>0</v>
      </c>
      <c r="AT299" s="37"/>
      <c r="AU299" s="37"/>
      <c r="AV299" s="37"/>
      <c r="AW299" s="37"/>
      <c r="AX299" s="37"/>
    </row>
    <row r="300" spans="1:50" ht="20.100000000000001" customHeight="1" x14ac:dyDescent="0.25">
      <c r="A300" s="37"/>
      <c r="B300" s="58"/>
      <c r="C300" s="37"/>
      <c r="D300" s="97"/>
      <c r="E300" s="98"/>
      <c r="F300" s="101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3"/>
      <c r="T300" s="83"/>
      <c r="U300" s="85"/>
      <c r="V300" s="83"/>
      <c r="W300" s="85"/>
      <c r="X300" s="97"/>
      <c r="Y300" s="100"/>
      <c r="Z300" s="100"/>
      <c r="AA300" s="100"/>
      <c r="AB300" s="100"/>
      <c r="AC300" s="100"/>
      <c r="AD300" s="98"/>
      <c r="AE300" s="83"/>
      <c r="AF300" s="84"/>
      <c r="AG300" s="85"/>
      <c r="AH300" s="83"/>
      <c r="AI300" s="84"/>
      <c r="AJ300" s="84"/>
      <c r="AK300" s="85"/>
      <c r="AL300" s="83"/>
      <c r="AM300" s="84"/>
      <c r="AN300" s="85"/>
      <c r="AO300" s="60"/>
      <c r="AP300" s="61"/>
      <c r="AQ300" s="77">
        <f t="shared" si="9"/>
        <v>0</v>
      </c>
      <c r="AR300" s="37"/>
      <c r="AS300" s="78">
        <f t="shared" si="10"/>
        <v>0</v>
      </c>
      <c r="AT300" s="37"/>
      <c r="AU300" s="37"/>
      <c r="AV300" s="37"/>
      <c r="AW300" s="37"/>
      <c r="AX300" s="37"/>
    </row>
    <row r="301" spans="1:50" ht="20.100000000000001" customHeight="1" x14ac:dyDescent="0.25">
      <c r="A301" s="37"/>
      <c r="B301" s="58"/>
      <c r="C301" s="37"/>
      <c r="D301" s="97"/>
      <c r="E301" s="98"/>
      <c r="F301" s="101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3"/>
      <c r="T301" s="83"/>
      <c r="U301" s="85"/>
      <c r="V301" s="83"/>
      <c r="W301" s="85"/>
      <c r="X301" s="97"/>
      <c r="Y301" s="100"/>
      <c r="Z301" s="100"/>
      <c r="AA301" s="100"/>
      <c r="AB301" s="100"/>
      <c r="AC301" s="100"/>
      <c r="AD301" s="98"/>
      <c r="AE301" s="83"/>
      <c r="AF301" s="84"/>
      <c r="AG301" s="85"/>
      <c r="AH301" s="83"/>
      <c r="AI301" s="84"/>
      <c r="AJ301" s="84"/>
      <c r="AK301" s="85"/>
      <c r="AL301" s="83"/>
      <c r="AM301" s="84"/>
      <c r="AN301" s="85"/>
      <c r="AO301" s="60"/>
      <c r="AP301" s="61"/>
      <c r="AQ301" s="77">
        <f t="shared" si="9"/>
        <v>0</v>
      </c>
      <c r="AR301" s="37"/>
      <c r="AS301" s="78">
        <f t="shared" si="10"/>
        <v>0</v>
      </c>
      <c r="AT301" s="37"/>
      <c r="AU301" s="37"/>
      <c r="AV301" s="37"/>
      <c r="AW301" s="37"/>
      <c r="AX301" s="37"/>
    </row>
    <row r="302" spans="1:50" ht="20.100000000000001" customHeight="1" x14ac:dyDescent="0.25">
      <c r="A302" s="37"/>
      <c r="B302" s="58"/>
      <c r="C302" s="37"/>
      <c r="D302" s="97"/>
      <c r="E302" s="98"/>
      <c r="F302" s="101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3"/>
      <c r="T302" s="83"/>
      <c r="U302" s="85"/>
      <c r="V302" s="83"/>
      <c r="W302" s="85"/>
      <c r="X302" s="97"/>
      <c r="Y302" s="100"/>
      <c r="Z302" s="100"/>
      <c r="AA302" s="100"/>
      <c r="AB302" s="100"/>
      <c r="AC302" s="100"/>
      <c r="AD302" s="98"/>
      <c r="AE302" s="83"/>
      <c r="AF302" s="84"/>
      <c r="AG302" s="85"/>
      <c r="AH302" s="83"/>
      <c r="AI302" s="84"/>
      <c r="AJ302" s="84"/>
      <c r="AK302" s="85"/>
      <c r="AL302" s="83"/>
      <c r="AM302" s="84"/>
      <c r="AN302" s="85"/>
      <c r="AO302" s="60"/>
      <c r="AP302" s="61"/>
      <c r="AQ302" s="77">
        <f t="shared" si="9"/>
        <v>0</v>
      </c>
      <c r="AR302" s="37"/>
      <c r="AS302" s="78">
        <f t="shared" si="10"/>
        <v>0</v>
      </c>
      <c r="AT302" s="37"/>
      <c r="AU302" s="37"/>
      <c r="AV302" s="37"/>
      <c r="AW302" s="37"/>
      <c r="AX302" s="37"/>
    </row>
    <row r="303" spans="1:50" ht="20.100000000000001" customHeight="1" x14ac:dyDescent="0.25">
      <c r="A303" s="37"/>
      <c r="B303" s="58"/>
      <c r="C303" s="37"/>
      <c r="D303" s="97"/>
      <c r="E303" s="98"/>
      <c r="F303" s="101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3"/>
      <c r="T303" s="83"/>
      <c r="U303" s="85"/>
      <c r="V303" s="83"/>
      <c r="W303" s="85"/>
      <c r="X303" s="97"/>
      <c r="Y303" s="100"/>
      <c r="Z303" s="100"/>
      <c r="AA303" s="100"/>
      <c r="AB303" s="100"/>
      <c r="AC303" s="100"/>
      <c r="AD303" s="98"/>
      <c r="AE303" s="83"/>
      <c r="AF303" s="84"/>
      <c r="AG303" s="85"/>
      <c r="AH303" s="83"/>
      <c r="AI303" s="84"/>
      <c r="AJ303" s="84"/>
      <c r="AK303" s="85"/>
      <c r="AL303" s="83"/>
      <c r="AM303" s="84"/>
      <c r="AN303" s="85"/>
      <c r="AO303" s="60"/>
      <c r="AP303" s="61"/>
      <c r="AQ303" s="77">
        <f t="shared" si="9"/>
        <v>0</v>
      </c>
      <c r="AR303" s="37"/>
      <c r="AS303" s="78">
        <f t="shared" si="10"/>
        <v>0</v>
      </c>
      <c r="AT303" s="37"/>
      <c r="AU303" s="37"/>
      <c r="AV303" s="37"/>
      <c r="AW303" s="37"/>
      <c r="AX303" s="37"/>
    </row>
    <row r="304" spans="1:50" ht="20.100000000000001" customHeight="1" x14ac:dyDescent="0.25">
      <c r="A304" s="37"/>
      <c r="B304" s="58"/>
      <c r="C304" s="37"/>
      <c r="D304" s="97"/>
      <c r="E304" s="98"/>
      <c r="F304" s="101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3"/>
      <c r="T304" s="83"/>
      <c r="U304" s="85"/>
      <c r="V304" s="83"/>
      <c r="W304" s="85"/>
      <c r="X304" s="97"/>
      <c r="Y304" s="100"/>
      <c r="Z304" s="100"/>
      <c r="AA304" s="100"/>
      <c r="AB304" s="100"/>
      <c r="AC304" s="100"/>
      <c r="AD304" s="98"/>
      <c r="AE304" s="83"/>
      <c r="AF304" s="84"/>
      <c r="AG304" s="85"/>
      <c r="AH304" s="83"/>
      <c r="AI304" s="84"/>
      <c r="AJ304" s="84"/>
      <c r="AK304" s="85"/>
      <c r="AL304" s="83"/>
      <c r="AM304" s="84"/>
      <c r="AN304" s="85"/>
      <c r="AO304" s="60"/>
      <c r="AP304" s="61"/>
      <c r="AQ304" s="77">
        <f t="shared" si="9"/>
        <v>0</v>
      </c>
      <c r="AR304" s="37"/>
      <c r="AS304" s="78">
        <f t="shared" si="10"/>
        <v>0</v>
      </c>
      <c r="AT304" s="37"/>
      <c r="AU304" s="37"/>
      <c r="AV304" s="37"/>
      <c r="AW304" s="37"/>
      <c r="AX304" s="37"/>
    </row>
    <row r="305" spans="1:50" ht="20.100000000000001" customHeight="1" x14ac:dyDescent="0.25">
      <c r="A305" s="37"/>
      <c r="B305" s="58"/>
      <c r="C305" s="37"/>
      <c r="D305" s="97"/>
      <c r="E305" s="98"/>
      <c r="F305" s="101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3"/>
      <c r="T305" s="83"/>
      <c r="U305" s="85"/>
      <c r="V305" s="83"/>
      <c r="W305" s="85"/>
      <c r="X305" s="97"/>
      <c r="Y305" s="100"/>
      <c r="Z305" s="100"/>
      <c r="AA305" s="100"/>
      <c r="AB305" s="100"/>
      <c r="AC305" s="100"/>
      <c r="AD305" s="98"/>
      <c r="AE305" s="83"/>
      <c r="AF305" s="84"/>
      <c r="AG305" s="85"/>
      <c r="AH305" s="83"/>
      <c r="AI305" s="84"/>
      <c r="AJ305" s="84"/>
      <c r="AK305" s="85"/>
      <c r="AL305" s="83"/>
      <c r="AM305" s="84"/>
      <c r="AN305" s="85"/>
      <c r="AO305" s="60"/>
      <c r="AP305" s="61"/>
      <c r="AQ305" s="77">
        <f t="shared" si="9"/>
        <v>0</v>
      </c>
      <c r="AR305" s="37"/>
      <c r="AS305" s="78">
        <f t="shared" si="10"/>
        <v>0</v>
      </c>
      <c r="AT305" s="37"/>
      <c r="AU305" s="37"/>
      <c r="AV305" s="37"/>
      <c r="AW305" s="37"/>
      <c r="AX305" s="37"/>
    </row>
    <row r="306" spans="1:50" ht="20.100000000000001" customHeight="1" x14ac:dyDescent="0.25">
      <c r="A306" s="37"/>
      <c r="B306" s="58"/>
      <c r="C306" s="37"/>
      <c r="D306" s="97"/>
      <c r="E306" s="98"/>
      <c r="F306" s="101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3"/>
      <c r="T306" s="83"/>
      <c r="U306" s="85"/>
      <c r="V306" s="83"/>
      <c r="W306" s="85"/>
      <c r="X306" s="97"/>
      <c r="Y306" s="100"/>
      <c r="Z306" s="100"/>
      <c r="AA306" s="100"/>
      <c r="AB306" s="100"/>
      <c r="AC306" s="100"/>
      <c r="AD306" s="98"/>
      <c r="AE306" s="83"/>
      <c r="AF306" s="84"/>
      <c r="AG306" s="85"/>
      <c r="AH306" s="83"/>
      <c r="AI306" s="84"/>
      <c r="AJ306" s="84"/>
      <c r="AK306" s="85"/>
      <c r="AL306" s="83"/>
      <c r="AM306" s="84"/>
      <c r="AN306" s="85"/>
      <c r="AO306" s="60"/>
      <c r="AP306" s="61"/>
      <c r="AQ306" s="77">
        <f t="shared" si="9"/>
        <v>0</v>
      </c>
      <c r="AR306" s="37"/>
      <c r="AS306" s="78">
        <f t="shared" si="10"/>
        <v>0</v>
      </c>
      <c r="AT306" s="37"/>
      <c r="AU306" s="37"/>
      <c r="AV306" s="37"/>
      <c r="AW306" s="37"/>
      <c r="AX306" s="37"/>
    </row>
    <row r="307" spans="1:50" ht="20.100000000000001" customHeight="1" x14ac:dyDescent="0.25">
      <c r="A307" s="37"/>
      <c r="B307" s="58"/>
      <c r="C307" s="37"/>
      <c r="D307" s="97"/>
      <c r="E307" s="98"/>
      <c r="F307" s="101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3"/>
      <c r="T307" s="83"/>
      <c r="U307" s="85"/>
      <c r="V307" s="83"/>
      <c r="W307" s="85"/>
      <c r="X307" s="97"/>
      <c r="Y307" s="100"/>
      <c r="Z307" s="100"/>
      <c r="AA307" s="100"/>
      <c r="AB307" s="100"/>
      <c r="AC307" s="100"/>
      <c r="AD307" s="98"/>
      <c r="AE307" s="83"/>
      <c r="AF307" s="84"/>
      <c r="AG307" s="85"/>
      <c r="AH307" s="83"/>
      <c r="AI307" s="84"/>
      <c r="AJ307" s="84"/>
      <c r="AK307" s="85"/>
      <c r="AL307" s="83"/>
      <c r="AM307" s="84"/>
      <c r="AN307" s="85"/>
      <c r="AO307" s="60"/>
      <c r="AP307" s="61"/>
      <c r="AQ307" s="77">
        <f t="shared" si="9"/>
        <v>0</v>
      </c>
      <c r="AR307" s="37"/>
      <c r="AS307" s="78">
        <f t="shared" si="10"/>
        <v>0</v>
      </c>
      <c r="AT307" s="37"/>
      <c r="AU307" s="37"/>
      <c r="AV307" s="37"/>
      <c r="AW307" s="37"/>
      <c r="AX307" s="37"/>
    </row>
    <row r="308" spans="1:50" ht="20.100000000000001" customHeight="1" x14ac:dyDescent="0.25">
      <c r="A308" s="37"/>
      <c r="B308" s="58"/>
      <c r="C308" s="37"/>
      <c r="D308" s="97"/>
      <c r="E308" s="98"/>
      <c r="F308" s="101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3"/>
      <c r="T308" s="83"/>
      <c r="U308" s="85"/>
      <c r="V308" s="83"/>
      <c r="W308" s="85"/>
      <c r="X308" s="97"/>
      <c r="Y308" s="100"/>
      <c r="Z308" s="100"/>
      <c r="AA308" s="100"/>
      <c r="AB308" s="100"/>
      <c r="AC308" s="100"/>
      <c r="AD308" s="98"/>
      <c r="AE308" s="83"/>
      <c r="AF308" s="84"/>
      <c r="AG308" s="85"/>
      <c r="AH308" s="83"/>
      <c r="AI308" s="84"/>
      <c r="AJ308" s="84"/>
      <c r="AK308" s="85"/>
      <c r="AL308" s="83"/>
      <c r="AM308" s="84"/>
      <c r="AN308" s="85"/>
      <c r="AO308" s="60"/>
      <c r="AP308" s="61"/>
      <c r="AQ308" s="77">
        <f t="shared" si="9"/>
        <v>0</v>
      </c>
      <c r="AR308" s="37"/>
      <c r="AS308" s="78">
        <f t="shared" si="10"/>
        <v>0</v>
      </c>
      <c r="AT308" s="37"/>
      <c r="AU308" s="37"/>
      <c r="AV308" s="37"/>
      <c r="AW308" s="37"/>
      <c r="AX308" s="37"/>
    </row>
    <row r="309" spans="1:50" ht="20.100000000000001" customHeight="1" x14ac:dyDescent="0.25">
      <c r="A309" s="37"/>
      <c r="B309" s="58"/>
      <c r="C309" s="37"/>
      <c r="D309" s="97"/>
      <c r="E309" s="98"/>
      <c r="F309" s="101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3"/>
      <c r="T309" s="83"/>
      <c r="U309" s="85"/>
      <c r="V309" s="83"/>
      <c r="W309" s="85"/>
      <c r="X309" s="97"/>
      <c r="Y309" s="100"/>
      <c r="Z309" s="100"/>
      <c r="AA309" s="100"/>
      <c r="AB309" s="100"/>
      <c r="AC309" s="100"/>
      <c r="AD309" s="98"/>
      <c r="AE309" s="83"/>
      <c r="AF309" s="84"/>
      <c r="AG309" s="85"/>
      <c r="AH309" s="83"/>
      <c r="AI309" s="84"/>
      <c r="AJ309" s="84"/>
      <c r="AK309" s="85"/>
      <c r="AL309" s="83"/>
      <c r="AM309" s="84"/>
      <c r="AN309" s="85"/>
      <c r="AO309" s="60"/>
      <c r="AP309" s="61"/>
      <c r="AQ309" s="77">
        <f t="shared" si="9"/>
        <v>0</v>
      </c>
      <c r="AR309" s="37"/>
      <c r="AS309" s="78">
        <f t="shared" si="10"/>
        <v>0</v>
      </c>
      <c r="AT309" s="37"/>
      <c r="AU309" s="37"/>
      <c r="AV309" s="37"/>
      <c r="AW309" s="37"/>
      <c r="AX309" s="37"/>
    </row>
    <row r="310" spans="1:50" ht="20.100000000000001" customHeight="1" x14ac:dyDescent="0.25">
      <c r="A310" s="37"/>
      <c r="B310" s="58"/>
      <c r="C310" s="37"/>
      <c r="D310" s="97"/>
      <c r="E310" s="98"/>
      <c r="F310" s="101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3"/>
      <c r="T310" s="83"/>
      <c r="U310" s="85"/>
      <c r="V310" s="83"/>
      <c r="W310" s="85"/>
      <c r="X310" s="97"/>
      <c r="Y310" s="100"/>
      <c r="Z310" s="100"/>
      <c r="AA310" s="100"/>
      <c r="AB310" s="100"/>
      <c r="AC310" s="100"/>
      <c r="AD310" s="98"/>
      <c r="AE310" s="83"/>
      <c r="AF310" s="84"/>
      <c r="AG310" s="85"/>
      <c r="AH310" s="83"/>
      <c r="AI310" s="84"/>
      <c r="AJ310" s="84"/>
      <c r="AK310" s="85"/>
      <c r="AL310" s="83"/>
      <c r="AM310" s="84"/>
      <c r="AN310" s="85"/>
      <c r="AO310" s="60"/>
      <c r="AP310" s="61"/>
      <c r="AQ310" s="77">
        <f t="shared" si="9"/>
        <v>0</v>
      </c>
      <c r="AR310" s="37"/>
      <c r="AS310" s="78">
        <f t="shared" si="10"/>
        <v>0</v>
      </c>
      <c r="AT310" s="37"/>
      <c r="AU310" s="37"/>
      <c r="AV310" s="37"/>
      <c r="AW310" s="37"/>
      <c r="AX310" s="37"/>
    </row>
    <row r="311" spans="1:50" ht="20.100000000000001" customHeight="1" x14ac:dyDescent="0.25">
      <c r="A311" s="37"/>
      <c r="B311" s="58"/>
      <c r="C311" s="37"/>
      <c r="D311" s="97"/>
      <c r="E311" s="98"/>
      <c r="F311" s="101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3"/>
      <c r="T311" s="83"/>
      <c r="U311" s="85"/>
      <c r="V311" s="83"/>
      <c r="W311" s="85"/>
      <c r="X311" s="97"/>
      <c r="Y311" s="100"/>
      <c r="Z311" s="100"/>
      <c r="AA311" s="100"/>
      <c r="AB311" s="100"/>
      <c r="AC311" s="100"/>
      <c r="AD311" s="98"/>
      <c r="AE311" s="83"/>
      <c r="AF311" s="84"/>
      <c r="AG311" s="85"/>
      <c r="AH311" s="83"/>
      <c r="AI311" s="84"/>
      <c r="AJ311" s="84"/>
      <c r="AK311" s="85"/>
      <c r="AL311" s="83"/>
      <c r="AM311" s="84"/>
      <c r="AN311" s="85"/>
      <c r="AO311" s="60"/>
      <c r="AP311" s="61"/>
      <c r="AQ311" s="77">
        <f t="shared" si="9"/>
        <v>0</v>
      </c>
      <c r="AR311" s="37"/>
      <c r="AS311" s="78">
        <f t="shared" si="10"/>
        <v>0</v>
      </c>
      <c r="AT311" s="37"/>
      <c r="AU311" s="37"/>
      <c r="AV311" s="37"/>
      <c r="AW311" s="37"/>
      <c r="AX311" s="37"/>
    </row>
    <row r="312" spans="1:50" ht="20.100000000000001" customHeight="1" x14ac:dyDescent="0.25">
      <c r="A312" s="37"/>
      <c r="B312" s="58"/>
      <c r="C312" s="37"/>
      <c r="D312" s="97"/>
      <c r="E312" s="98"/>
      <c r="F312" s="101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3"/>
      <c r="T312" s="83"/>
      <c r="U312" s="85"/>
      <c r="V312" s="83"/>
      <c r="W312" s="85"/>
      <c r="X312" s="97"/>
      <c r="Y312" s="100"/>
      <c r="Z312" s="100"/>
      <c r="AA312" s="100"/>
      <c r="AB312" s="100"/>
      <c r="AC312" s="100"/>
      <c r="AD312" s="98"/>
      <c r="AE312" s="83"/>
      <c r="AF312" s="84"/>
      <c r="AG312" s="85"/>
      <c r="AH312" s="83"/>
      <c r="AI312" s="84"/>
      <c r="AJ312" s="84"/>
      <c r="AK312" s="85"/>
      <c r="AL312" s="83"/>
      <c r="AM312" s="84"/>
      <c r="AN312" s="85"/>
      <c r="AO312" s="60"/>
      <c r="AP312" s="61"/>
      <c r="AQ312" s="77">
        <f t="shared" si="9"/>
        <v>0</v>
      </c>
      <c r="AR312" s="37"/>
      <c r="AS312" s="78">
        <f t="shared" si="10"/>
        <v>0</v>
      </c>
      <c r="AT312" s="37"/>
      <c r="AU312" s="37"/>
      <c r="AV312" s="37"/>
      <c r="AW312" s="37"/>
      <c r="AX312" s="37"/>
    </row>
    <row r="313" spans="1:50" ht="20.100000000000001" customHeight="1" x14ac:dyDescent="0.25">
      <c r="A313" s="37"/>
      <c r="B313" s="58"/>
      <c r="C313" s="37"/>
      <c r="D313" s="97"/>
      <c r="E313" s="98"/>
      <c r="F313" s="101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3"/>
      <c r="T313" s="83"/>
      <c r="U313" s="85"/>
      <c r="V313" s="83"/>
      <c r="W313" s="85"/>
      <c r="X313" s="97"/>
      <c r="Y313" s="100"/>
      <c r="Z313" s="100"/>
      <c r="AA313" s="100"/>
      <c r="AB313" s="100"/>
      <c r="AC313" s="100"/>
      <c r="AD313" s="98"/>
      <c r="AE313" s="83"/>
      <c r="AF313" s="84"/>
      <c r="AG313" s="85"/>
      <c r="AH313" s="83"/>
      <c r="AI313" s="84"/>
      <c r="AJ313" s="84"/>
      <c r="AK313" s="85"/>
      <c r="AL313" s="83"/>
      <c r="AM313" s="84"/>
      <c r="AN313" s="85"/>
      <c r="AO313" s="60"/>
      <c r="AP313" s="61"/>
      <c r="AQ313" s="77">
        <f t="shared" si="9"/>
        <v>0</v>
      </c>
      <c r="AR313" s="37"/>
      <c r="AS313" s="78">
        <f t="shared" si="10"/>
        <v>0</v>
      </c>
      <c r="AT313" s="37"/>
      <c r="AU313" s="37"/>
      <c r="AV313" s="37"/>
      <c r="AW313" s="37"/>
      <c r="AX313" s="37"/>
    </row>
    <row r="314" spans="1:50" ht="20.100000000000001" customHeight="1" x14ac:dyDescent="0.25">
      <c r="A314" s="37"/>
      <c r="B314" s="58"/>
      <c r="C314" s="37"/>
      <c r="D314" s="97"/>
      <c r="E314" s="98"/>
      <c r="F314" s="101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3"/>
      <c r="T314" s="83"/>
      <c r="U314" s="85"/>
      <c r="V314" s="83"/>
      <c r="W314" s="85"/>
      <c r="X314" s="97"/>
      <c r="Y314" s="100"/>
      <c r="Z314" s="100"/>
      <c r="AA314" s="100"/>
      <c r="AB314" s="100"/>
      <c r="AC314" s="100"/>
      <c r="AD314" s="98"/>
      <c r="AE314" s="83"/>
      <c r="AF314" s="84"/>
      <c r="AG314" s="85"/>
      <c r="AH314" s="83"/>
      <c r="AI314" s="84"/>
      <c r="AJ314" s="84"/>
      <c r="AK314" s="85"/>
      <c r="AL314" s="83"/>
      <c r="AM314" s="84"/>
      <c r="AN314" s="85"/>
      <c r="AO314" s="60"/>
      <c r="AP314" s="61"/>
      <c r="AQ314" s="77">
        <f t="shared" si="9"/>
        <v>0</v>
      </c>
      <c r="AR314" s="37"/>
      <c r="AS314" s="78">
        <f t="shared" si="10"/>
        <v>0</v>
      </c>
      <c r="AT314" s="37"/>
      <c r="AU314" s="37"/>
      <c r="AV314" s="37"/>
      <c r="AW314" s="37"/>
      <c r="AX314" s="37"/>
    </row>
    <row r="315" spans="1:50" ht="20.100000000000001" customHeight="1" x14ac:dyDescent="0.25">
      <c r="A315" s="37"/>
      <c r="B315" s="58"/>
      <c r="C315" s="37"/>
      <c r="D315" s="97"/>
      <c r="E315" s="98"/>
      <c r="F315" s="101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3"/>
      <c r="T315" s="83"/>
      <c r="U315" s="85"/>
      <c r="V315" s="83"/>
      <c r="W315" s="85"/>
      <c r="X315" s="97"/>
      <c r="Y315" s="100"/>
      <c r="Z315" s="100"/>
      <c r="AA315" s="100"/>
      <c r="AB315" s="100"/>
      <c r="AC315" s="100"/>
      <c r="AD315" s="98"/>
      <c r="AE315" s="83"/>
      <c r="AF315" s="84"/>
      <c r="AG315" s="85"/>
      <c r="AH315" s="83"/>
      <c r="AI315" s="84"/>
      <c r="AJ315" s="84"/>
      <c r="AK315" s="85"/>
      <c r="AL315" s="83"/>
      <c r="AM315" s="84"/>
      <c r="AN315" s="85"/>
      <c r="AO315" s="60"/>
      <c r="AP315" s="61"/>
      <c r="AQ315" s="77">
        <f t="shared" si="9"/>
        <v>0</v>
      </c>
      <c r="AR315" s="37"/>
      <c r="AS315" s="78">
        <f t="shared" si="10"/>
        <v>0</v>
      </c>
      <c r="AT315" s="37"/>
      <c r="AU315" s="37"/>
      <c r="AV315" s="37"/>
      <c r="AW315" s="37"/>
      <c r="AX315" s="37"/>
    </row>
    <row r="316" spans="1:50" ht="20.100000000000001" customHeight="1" x14ac:dyDescent="0.25">
      <c r="A316" s="37"/>
      <c r="B316" s="58"/>
      <c r="C316" s="37"/>
      <c r="D316" s="97"/>
      <c r="E316" s="98"/>
      <c r="F316" s="101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3"/>
      <c r="T316" s="83"/>
      <c r="U316" s="85"/>
      <c r="V316" s="83"/>
      <c r="W316" s="85"/>
      <c r="X316" s="97"/>
      <c r="Y316" s="100"/>
      <c r="Z316" s="100"/>
      <c r="AA316" s="100"/>
      <c r="AB316" s="100"/>
      <c r="AC316" s="100"/>
      <c r="AD316" s="98"/>
      <c r="AE316" s="83"/>
      <c r="AF316" s="84"/>
      <c r="AG316" s="85"/>
      <c r="AH316" s="83"/>
      <c r="AI316" s="84"/>
      <c r="AJ316" s="84"/>
      <c r="AK316" s="85"/>
      <c r="AL316" s="83"/>
      <c r="AM316" s="84"/>
      <c r="AN316" s="85"/>
      <c r="AO316" s="60"/>
      <c r="AP316" s="61"/>
      <c r="AQ316" s="77">
        <f t="shared" si="9"/>
        <v>0</v>
      </c>
      <c r="AR316" s="37"/>
      <c r="AS316" s="78">
        <f t="shared" si="10"/>
        <v>0</v>
      </c>
      <c r="AT316" s="37"/>
      <c r="AU316" s="37"/>
      <c r="AV316" s="37"/>
      <c r="AW316" s="37"/>
      <c r="AX316" s="37"/>
    </row>
    <row r="317" spans="1:50" ht="20.100000000000001" customHeight="1" x14ac:dyDescent="0.25">
      <c r="A317" s="37"/>
      <c r="B317" s="58"/>
      <c r="C317" s="37"/>
      <c r="D317" s="97"/>
      <c r="E317" s="98"/>
      <c r="F317" s="101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3"/>
      <c r="T317" s="83"/>
      <c r="U317" s="85"/>
      <c r="V317" s="83"/>
      <c r="W317" s="85"/>
      <c r="X317" s="97"/>
      <c r="Y317" s="100"/>
      <c r="Z317" s="100"/>
      <c r="AA317" s="100"/>
      <c r="AB317" s="100"/>
      <c r="AC317" s="100"/>
      <c r="AD317" s="98"/>
      <c r="AE317" s="83"/>
      <c r="AF317" s="84"/>
      <c r="AG317" s="85"/>
      <c r="AH317" s="83"/>
      <c r="AI317" s="84"/>
      <c r="AJ317" s="84"/>
      <c r="AK317" s="85"/>
      <c r="AL317" s="83"/>
      <c r="AM317" s="84"/>
      <c r="AN317" s="85"/>
      <c r="AO317" s="60"/>
      <c r="AP317" s="61"/>
      <c r="AQ317" s="77">
        <f t="shared" si="9"/>
        <v>0</v>
      </c>
      <c r="AR317" s="37"/>
      <c r="AS317" s="78">
        <f t="shared" si="10"/>
        <v>0</v>
      </c>
      <c r="AT317" s="37"/>
      <c r="AU317" s="37"/>
      <c r="AV317" s="37"/>
      <c r="AW317" s="37"/>
      <c r="AX317" s="37"/>
    </row>
    <row r="318" spans="1:50" ht="20.100000000000001" customHeight="1" x14ac:dyDescent="0.25">
      <c r="A318" s="37"/>
      <c r="B318" s="58"/>
      <c r="C318" s="37"/>
      <c r="D318" s="97"/>
      <c r="E318" s="98"/>
      <c r="F318" s="101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3"/>
      <c r="T318" s="83"/>
      <c r="U318" s="85"/>
      <c r="V318" s="83"/>
      <c r="W318" s="85"/>
      <c r="X318" s="97"/>
      <c r="Y318" s="100"/>
      <c r="Z318" s="100"/>
      <c r="AA318" s="100"/>
      <c r="AB318" s="100"/>
      <c r="AC318" s="100"/>
      <c r="AD318" s="98"/>
      <c r="AE318" s="83"/>
      <c r="AF318" s="84"/>
      <c r="AG318" s="85"/>
      <c r="AH318" s="83"/>
      <c r="AI318" s="84"/>
      <c r="AJ318" s="84"/>
      <c r="AK318" s="85"/>
      <c r="AL318" s="83"/>
      <c r="AM318" s="84"/>
      <c r="AN318" s="85"/>
      <c r="AO318" s="60"/>
      <c r="AP318" s="61"/>
      <c r="AQ318" s="77">
        <f t="shared" si="9"/>
        <v>0</v>
      </c>
      <c r="AR318" s="37"/>
      <c r="AS318" s="78">
        <f t="shared" si="10"/>
        <v>0</v>
      </c>
      <c r="AT318" s="37"/>
      <c r="AU318" s="37"/>
      <c r="AV318" s="37"/>
      <c r="AW318" s="37"/>
      <c r="AX318" s="37"/>
    </row>
    <row r="319" spans="1:50" ht="20.100000000000001" customHeight="1" x14ac:dyDescent="0.25">
      <c r="A319" s="37"/>
      <c r="B319" s="58"/>
      <c r="C319" s="37"/>
      <c r="D319" s="97"/>
      <c r="E319" s="98"/>
      <c r="F319" s="101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3"/>
      <c r="T319" s="83"/>
      <c r="U319" s="85"/>
      <c r="V319" s="83"/>
      <c r="W319" s="85"/>
      <c r="X319" s="97"/>
      <c r="Y319" s="100"/>
      <c r="Z319" s="100"/>
      <c r="AA319" s="100"/>
      <c r="AB319" s="100"/>
      <c r="AC319" s="100"/>
      <c r="AD319" s="98"/>
      <c r="AE319" s="83"/>
      <c r="AF319" s="84"/>
      <c r="AG319" s="85"/>
      <c r="AH319" s="83"/>
      <c r="AI319" s="84"/>
      <c r="AJ319" s="84"/>
      <c r="AK319" s="85"/>
      <c r="AL319" s="83"/>
      <c r="AM319" s="84"/>
      <c r="AN319" s="85"/>
      <c r="AO319" s="60"/>
      <c r="AP319" s="61"/>
      <c r="AQ319" s="77">
        <f t="shared" si="9"/>
        <v>0</v>
      </c>
      <c r="AR319" s="37"/>
      <c r="AS319" s="78">
        <f t="shared" si="10"/>
        <v>0</v>
      </c>
      <c r="AT319" s="37"/>
      <c r="AU319" s="37"/>
      <c r="AV319" s="37"/>
      <c r="AW319" s="37"/>
      <c r="AX319" s="37"/>
    </row>
    <row r="320" spans="1:50" ht="20.100000000000001" customHeight="1" x14ac:dyDescent="0.25">
      <c r="A320" s="37"/>
      <c r="B320" s="58"/>
      <c r="C320" s="37"/>
      <c r="D320" s="97"/>
      <c r="E320" s="98"/>
      <c r="F320" s="101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3"/>
      <c r="T320" s="83"/>
      <c r="U320" s="85"/>
      <c r="V320" s="83"/>
      <c r="W320" s="85"/>
      <c r="X320" s="97"/>
      <c r="Y320" s="100"/>
      <c r="Z320" s="100"/>
      <c r="AA320" s="100"/>
      <c r="AB320" s="100"/>
      <c r="AC320" s="100"/>
      <c r="AD320" s="98"/>
      <c r="AE320" s="83"/>
      <c r="AF320" s="84"/>
      <c r="AG320" s="85"/>
      <c r="AH320" s="83"/>
      <c r="AI320" s="84"/>
      <c r="AJ320" s="84"/>
      <c r="AK320" s="85"/>
      <c r="AL320" s="83"/>
      <c r="AM320" s="84"/>
      <c r="AN320" s="85"/>
      <c r="AO320" s="60"/>
      <c r="AP320" s="61"/>
      <c r="AQ320" s="77">
        <f t="shared" si="9"/>
        <v>0</v>
      </c>
      <c r="AR320" s="37"/>
      <c r="AS320" s="78">
        <f t="shared" si="10"/>
        <v>0</v>
      </c>
      <c r="AT320" s="37"/>
      <c r="AU320" s="37"/>
      <c r="AV320" s="37"/>
      <c r="AW320" s="37"/>
      <c r="AX320" s="37"/>
    </row>
    <row r="321" spans="1:50" ht="20.100000000000001" customHeight="1" x14ac:dyDescent="0.25">
      <c r="A321" s="37"/>
      <c r="B321" s="58"/>
      <c r="C321" s="37"/>
      <c r="D321" s="97"/>
      <c r="E321" s="98"/>
      <c r="F321" s="101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3"/>
      <c r="T321" s="83"/>
      <c r="U321" s="85"/>
      <c r="V321" s="83"/>
      <c r="W321" s="85"/>
      <c r="X321" s="97"/>
      <c r="Y321" s="100"/>
      <c r="Z321" s="100"/>
      <c r="AA321" s="100"/>
      <c r="AB321" s="100"/>
      <c r="AC321" s="100"/>
      <c r="AD321" s="98"/>
      <c r="AE321" s="83"/>
      <c r="AF321" s="84"/>
      <c r="AG321" s="85"/>
      <c r="AH321" s="83"/>
      <c r="AI321" s="84"/>
      <c r="AJ321" s="84"/>
      <c r="AK321" s="85"/>
      <c r="AL321" s="83"/>
      <c r="AM321" s="84"/>
      <c r="AN321" s="85"/>
      <c r="AO321" s="60"/>
      <c r="AP321" s="61"/>
      <c r="AQ321" s="77">
        <f t="shared" si="9"/>
        <v>0</v>
      </c>
      <c r="AR321" s="37"/>
      <c r="AS321" s="78">
        <f t="shared" si="10"/>
        <v>0</v>
      </c>
      <c r="AT321" s="37"/>
      <c r="AU321" s="37"/>
      <c r="AV321" s="37"/>
      <c r="AW321" s="37"/>
      <c r="AX321" s="37"/>
    </row>
    <row r="322" spans="1:50" ht="20.100000000000001" customHeight="1" x14ac:dyDescent="0.25">
      <c r="A322" s="37"/>
      <c r="B322" s="58"/>
      <c r="C322" s="37"/>
      <c r="D322" s="97"/>
      <c r="E322" s="98"/>
      <c r="F322" s="101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3"/>
      <c r="T322" s="83"/>
      <c r="U322" s="85"/>
      <c r="V322" s="83"/>
      <c r="W322" s="85"/>
      <c r="X322" s="97"/>
      <c r="Y322" s="100"/>
      <c r="Z322" s="100"/>
      <c r="AA322" s="100"/>
      <c r="AB322" s="100"/>
      <c r="AC322" s="100"/>
      <c r="AD322" s="98"/>
      <c r="AE322" s="83"/>
      <c r="AF322" s="84"/>
      <c r="AG322" s="85"/>
      <c r="AH322" s="83"/>
      <c r="AI322" s="84"/>
      <c r="AJ322" s="84"/>
      <c r="AK322" s="85"/>
      <c r="AL322" s="83"/>
      <c r="AM322" s="84"/>
      <c r="AN322" s="85"/>
      <c r="AO322" s="60"/>
      <c r="AP322" s="61"/>
      <c r="AQ322" s="77">
        <f t="shared" si="9"/>
        <v>0</v>
      </c>
      <c r="AR322" s="37"/>
      <c r="AS322" s="78">
        <f t="shared" si="10"/>
        <v>0</v>
      </c>
      <c r="AT322" s="37"/>
      <c r="AU322" s="37"/>
      <c r="AV322" s="37"/>
      <c r="AW322" s="37"/>
      <c r="AX322" s="37"/>
    </row>
    <row r="323" spans="1:50" ht="20.100000000000001" customHeight="1" x14ac:dyDescent="0.25">
      <c r="A323" s="37"/>
      <c r="B323" s="58"/>
      <c r="C323" s="37"/>
      <c r="D323" s="97"/>
      <c r="E323" s="98"/>
      <c r="F323" s="101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3"/>
      <c r="T323" s="83"/>
      <c r="U323" s="85"/>
      <c r="V323" s="83"/>
      <c r="W323" s="85"/>
      <c r="X323" s="97"/>
      <c r="Y323" s="100"/>
      <c r="Z323" s="100"/>
      <c r="AA323" s="100"/>
      <c r="AB323" s="100"/>
      <c r="AC323" s="100"/>
      <c r="AD323" s="98"/>
      <c r="AE323" s="83"/>
      <c r="AF323" s="84"/>
      <c r="AG323" s="85"/>
      <c r="AH323" s="83"/>
      <c r="AI323" s="84"/>
      <c r="AJ323" s="84"/>
      <c r="AK323" s="85"/>
      <c r="AL323" s="83"/>
      <c r="AM323" s="84"/>
      <c r="AN323" s="85"/>
      <c r="AO323" s="60"/>
      <c r="AP323" s="61"/>
      <c r="AQ323" s="77">
        <f t="shared" si="9"/>
        <v>0</v>
      </c>
      <c r="AR323" s="37"/>
      <c r="AS323" s="78">
        <f t="shared" si="10"/>
        <v>0</v>
      </c>
      <c r="AT323" s="37"/>
      <c r="AU323" s="37"/>
      <c r="AV323" s="37"/>
      <c r="AW323" s="37"/>
      <c r="AX323" s="37"/>
    </row>
    <row r="324" spans="1:50" ht="20.100000000000001" customHeight="1" x14ac:dyDescent="0.25">
      <c r="A324" s="37"/>
      <c r="B324" s="58"/>
      <c r="C324" s="37"/>
      <c r="D324" s="97"/>
      <c r="E324" s="98"/>
      <c r="F324" s="101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3"/>
      <c r="T324" s="83"/>
      <c r="U324" s="85"/>
      <c r="V324" s="83"/>
      <c r="W324" s="85"/>
      <c r="X324" s="97"/>
      <c r="Y324" s="100"/>
      <c r="Z324" s="100"/>
      <c r="AA324" s="100"/>
      <c r="AB324" s="100"/>
      <c r="AC324" s="100"/>
      <c r="AD324" s="98"/>
      <c r="AE324" s="83"/>
      <c r="AF324" s="84"/>
      <c r="AG324" s="85"/>
      <c r="AH324" s="83"/>
      <c r="AI324" s="84"/>
      <c r="AJ324" s="84"/>
      <c r="AK324" s="85"/>
      <c r="AL324" s="83"/>
      <c r="AM324" s="84"/>
      <c r="AN324" s="85"/>
      <c r="AO324" s="60"/>
      <c r="AP324" s="61"/>
      <c r="AQ324" s="77">
        <f t="shared" si="9"/>
        <v>0</v>
      </c>
      <c r="AR324" s="37"/>
      <c r="AS324" s="78">
        <f t="shared" si="10"/>
        <v>0</v>
      </c>
      <c r="AT324" s="37"/>
      <c r="AU324" s="37"/>
      <c r="AV324" s="37"/>
      <c r="AW324" s="37"/>
      <c r="AX324" s="37"/>
    </row>
    <row r="325" spans="1:50" ht="20.100000000000001" customHeight="1" x14ac:dyDescent="0.25">
      <c r="A325" s="37"/>
      <c r="B325" s="58"/>
      <c r="C325" s="37"/>
      <c r="D325" s="97"/>
      <c r="E325" s="98"/>
      <c r="F325" s="101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3"/>
      <c r="T325" s="83"/>
      <c r="U325" s="85"/>
      <c r="V325" s="83"/>
      <c r="W325" s="85"/>
      <c r="X325" s="97"/>
      <c r="Y325" s="100"/>
      <c r="Z325" s="100"/>
      <c r="AA325" s="100"/>
      <c r="AB325" s="100"/>
      <c r="AC325" s="100"/>
      <c r="AD325" s="98"/>
      <c r="AE325" s="83"/>
      <c r="AF325" s="84"/>
      <c r="AG325" s="85"/>
      <c r="AH325" s="83"/>
      <c r="AI325" s="84"/>
      <c r="AJ325" s="84"/>
      <c r="AK325" s="85"/>
      <c r="AL325" s="83"/>
      <c r="AM325" s="84"/>
      <c r="AN325" s="85"/>
      <c r="AO325" s="60"/>
      <c r="AP325" s="61"/>
      <c r="AQ325" s="77">
        <f t="shared" si="9"/>
        <v>0</v>
      </c>
      <c r="AR325" s="37"/>
      <c r="AS325" s="78">
        <f t="shared" si="10"/>
        <v>0</v>
      </c>
      <c r="AT325" s="37"/>
      <c r="AU325" s="37"/>
      <c r="AV325" s="37"/>
      <c r="AW325" s="37"/>
      <c r="AX325" s="37"/>
    </row>
    <row r="326" spans="1:50" ht="20.100000000000001" customHeight="1" x14ac:dyDescent="0.25">
      <c r="A326" s="37"/>
      <c r="B326" s="58"/>
      <c r="C326" s="37"/>
      <c r="D326" s="97"/>
      <c r="E326" s="98"/>
      <c r="F326" s="101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3"/>
      <c r="T326" s="83"/>
      <c r="U326" s="85"/>
      <c r="V326" s="83"/>
      <c r="W326" s="85"/>
      <c r="X326" s="97"/>
      <c r="Y326" s="100"/>
      <c r="Z326" s="100"/>
      <c r="AA326" s="100"/>
      <c r="AB326" s="100"/>
      <c r="AC326" s="100"/>
      <c r="AD326" s="98"/>
      <c r="AE326" s="83"/>
      <c r="AF326" s="84"/>
      <c r="AG326" s="85"/>
      <c r="AH326" s="83"/>
      <c r="AI326" s="84"/>
      <c r="AJ326" s="84"/>
      <c r="AK326" s="85"/>
      <c r="AL326" s="83"/>
      <c r="AM326" s="84"/>
      <c r="AN326" s="85"/>
      <c r="AO326" s="60"/>
      <c r="AP326" s="61"/>
      <c r="AQ326" s="77">
        <f t="shared" ref="AQ326:AQ389" si="11">AP326-B326</f>
        <v>0</v>
      </c>
      <c r="AR326" s="37"/>
      <c r="AS326" s="78">
        <f t="shared" si="10"/>
        <v>0</v>
      </c>
      <c r="AT326" s="37"/>
      <c r="AU326" s="37"/>
      <c r="AV326" s="37"/>
      <c r="AW326" s="37"/>
      <c r="AX326" s="37"/>
    </row>
    <row r="327" spans="1:50" ht="20.100000000000001" customHeight="1" x14ac:dyDescent="0.25">
      <c r="A327" s="37"/>
      <c r="B327" s="58"/>
      <c r="C327" s="37"/>
      <c r="D327" s="97"/>
      <c r="E327" s="98"/>
      <c r="F327" s="101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3"/>
      <c r="T327" s="83"/>
      <c r="U327" s="85"/>
      <c r="V327" s="83"/>
      <c r="W327" s="85"/>
      <c r="X327" s="97"/>
      <c r="Y327" s="100"/>
      <c r="Z327" s="100"/>
      <c r="AA327" s="100"/>
      <c r="AB327" s="100"/>
      <c r="AC327" s="100"/>
      <c r="AD327" s="98"/>
      <c r="AE327" s="83"/>
      <c r="AF327" s="84"/>
      <c r="AG327" s="85"/>
      <c r="AH327" s="83"/>
      <c r="AI327" s="84"/>
      <c r="AJ327" s="84"/>
      <c r="AK327" s="85"/>
      <c r="AL327" s="83"/>
      <c r="AM327" s="84"/>
      <c r="AN327" s="85"/>
      <c r="AO327" s="60"/>
      <c r="AP327" s="61"/>
      <c r="AQ327" s="77">
        <f t="shared" si="11"/>
        <v>0</v>
      </c>
      <c r="AR327" s="37"/>
      <c r="AS327" s="78">
        <f t="shared" ref="AS327:AS390" si="12">AP327-AR327</f>
        <v>0</v>
      </c>
      <c r="AT327" s="37"/>
      <c r="AU327" s="37"/>
      <c r="AV327" s="37"/>
      <c r="AW327" s="37"/>
      <c r="AX327" s="37"/>
    </row>
    <row r="328" spans="1:50" ht="20.100000000000001" customHeight="1" x14ac:dyDescent="0.25">
      <c r="A328" s="37"/>
      <c r="B328" s="58"/>
      <c r="C328" s="37"/>
      <c r="D328" s="97"/>
      <c r="E328" s="98"/>
      <c r="F328" s="101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3"/>
      <c r="T328" s="83"/>
      <c r="U328" s="85"/>
      <c r="V328" s="83"/>
      <c r="W328" s="85"/>
      <c r="X328" s="97"/>
      <c r="Y328" s="100"/>
      <c r="Z328" s="100"/>
      <c r="AA328" s="100"/>
      <c r="AB328" s="100"/>
      <c r="AC328" s="100"/>
      <c r="AD328" s="98"/>
      <c r="AE328" s="83"/>
      <c r="AF328" s="84"/>
      <c r="AG328" s="85"/>
      <c r="AH328" s="83"/>
      <c r="AI328" s="84"/>
      <c r="AJ328" s="84"/>
      <c r="AK328" s="85"/>
      <c r="AL328" s="83"/>
      <c r="AM328" s="84"/>
      <c r="AN328" s="85"/>
      <c r="AO328" s="60"/>
      <c r="AP328" s="61"/>
      <c r="AQ328" s="77">
        <f t="shared" si="11"/>
        <v>0</v>
      </c>
      <c r="AR328" s="37"/>
      <c r="AS328" s="78">
        <f t="shared" si="12"/>
        <v>0</v>
      </c>
      <c r="AT328" s="37"/>
      <c r="AU328" s="37"/>
      <c r="AV328" s="37"/>
      <c r="AW328" s="37"/>
      <c r="AX328" s="37"/>
    </row>
    <row r="329" spans="1:50" ht="20.100000000000001" customHeight="1" x14ac:dyDescent="0.25">
      <c r="A329" s="37"/>
      <c r="B329" s="58"/>
      <c r="C329" s="37"/>
      <c r="D329" s="97"/>
      <c r="E329" s="98"/>
      <c r="F329" s="101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3"/>
      <c r="T329" s="83"/>
      <c r="U329" s="85"/>
      <c r="V329" s="83"/>
      <c r="W329" s="85"/>
      <c r="X329" s="97"/>
      <c r="Y329" s="100"/>
      <c r="Z329" s="100"/>
      <c r="AA329" s="100"/>
      <c r="AB329" s="100"/>
      <c r="AC329" s="100"/>
      <c r="AD329" s="98"/>
      <c r="AE329" s="83"/>
      <c r="AF329" s="84"/>
      <c r="AG329" s="85"/>
      <c r="AH329" s="83"/>
      <c r="AI329" s="84"/>
      <c r="AJ329" s="84"/>
      <c r="AK329" s="85"/>
      <c r="AL329" s="83"/>
      <c r="AM329" s="84"/>
      <c r="AN329" s="85"/>
      <c r="AO329" s="60"/>
      <c r="AP329" s="61"/>
      <c r="AQ329" s="77">
        <f t="shared" si="11"/>
        <v>0</v>
      </c>
      <c r="AR329" s="37"/>
      <c r="AS329" s="78">
        <f t="shared" si="12"/>
        <v>0</v>
      </c>
      <c r="AT329" s="37"/>
      <c r="AU329" s="37"/>
      <c r="AV329" s="37"/>
      <c r="AW329" s="37"/>
      <c r="AX329" s="37"/>
    </row>
    <row r="330" spans="1:50" ht="20.100000000000001" customHeight="1" x14ac:dyDescent="0.25">
      <c r="A330" s="37"/>
      <c r="B330" s="58"/>
      <c r="C330" s="37"/>
      <c r="D330" s="97"/>
      <c r="E330" s="98"/>
      <c r="F330" s="101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3"/>
      <c r="T330" s="83"/>
      <c r="U330" s="85"/>
      <c r="V330" s="83"/>
      <c r="W330" s="85"/>
      <c r="X330" s="97"/>
      <c r="Y330" s="100"/>
      <c r="Z330" s="100"/>
      <c r="AA330" s="100"/>
      <c r="AB330" s="100"/>
      <c r="AC330" s="100"/>
      <c r="AD330" s="98"/>
      <c r="AE330" s="83"/>
      <c r="AF330" s="84"/>
      <c r="AG330" s="85"/>
      <c r="AH330" s="83"/>
      <c r="AI330" s="84"/>
      <c r="AJ330" s="84"/>
      <c r="AK330" s="85"/>
      <c r="AL330" s="83"/>
      <c r="AM330" s="84"/>
      <c r="AN330" s="85"/>
      <c r="AO330" s="60"/>
      <c r="AP330" s="61"/>
      <c r="AQ330" s="77">
        <f t="shared" si="11"/>
        <v>0</v>
      </c>
      <c r="AR330" s="37"/>
      <c r="AS330" s="78">
        <f t="shared" si="12"/>
        <v>0</v>
      </c>
      <c r="AT330" s="37"/>
      <c r="AU330" s="37"/>
      <c r="AV330" s="37"/>
      <c r="AW330" s="37"/>
      <c r="AX330" s="37"/>
    </row>
    <row r="331" spans="1:50" ht="20.100000000000001" customHeight="1" x14ac:dyDescent="0.25">
      <c r="A331" s="37"/>
      <c r="B331" s="58"/>
      <c r="C331" s="37"/>
      <c r="D331" s="97"/>
      <c r="E331" s="98"/>
      <c r="F331" s="101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3"/>
      <c r="T331" s="83"/>
      <c r="U331" s="85"/>
      <c r="V331" s="83"/>
      <c r="W331" s="85"/>
      <c r="X331" s="97"/>
      <c r="Y331" s="100"/>
      <c r="Z331" s="100"/>
      <c r="AA331" s="100"/>
      <c r="AB331" s="100"/>
      <c r="AC331" s="100"/>
      <c r="AD331" s="98"/>
      <c r="AE331" s="83"/>
      <c r="AF331" s="84"/>
      <c r="AG331" s="85"/>
      <c r="AH331" s="83"/>
      <c r="AI331" s="84"/>
      <c r="AJ331" s="84"/>
      <c r="AK331" s="85"/>
      <c r="AL331" s="83"/>
      <c r="AM331" s="84"/>
      <c r="AN331" s="85"/>
      <c r="AO331" s="60"/>
      <c r="AP331" s="61"/>
      <c r="AQ331" s="77">
        <f t="shared" si="11"/>
        <v>0</v>
      </c>
      <c r="AR331" s="37"/>
      <c r="AS331" s="78">
        <f t="shared" si="12"/>
        <v>0</v>
      </c>
      <c r="AT331" s="37"/>
      <c r="AU331" s="37"/>
      <c r="AV331" s="37"/>
      <c r="AW331" s="37"/>
      <c r="AX331" s="37"/>
    </row>
    <row r="332" spans="1:50" ht="20.100000000000001" customHeight="1" x14ac:dyDescent="0.25">
      <c r="A332" s="37"/>
      <c r="B332" s="58"/>
      <c r="C332" s="37"/>
      <c r="D332" s="97"/>
      <c r="E332" s="98"/>
      <c r="F332" s="101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3"/>
      <c r="T332" s="83"/>
      <c r="U332" s="85"/>
      <c r="V332" s="83"/>
      <c r="W332" s="85"/>
      <c r="X332" s="97"/>
      <c r="Y332" s="100"/>
      <c r="Z332" s="100"/>
      <c r="AA332" s="100"/>
      <c r="AB332" s="100"/>
      <c r="AC332" s="100"/>
      <c r="AD332" s="98"/>
      <c r="AE332" s="83"/>
      <c r="AF332" s="84"/>
      <c r="AG332" s="85"/>
      <c r="AH332" s="83"/>
      <c r="AI332" s="84"/>
      <c r="AJ332" s="84"/>
      <c r="AK332" s="85"/>
      <c r="AL332" s="83"/>
      <c r="AM332" s="84"/>
      <c r="AN332" s="85"/>
      <c r="AO332" s="60"/>
      <c r="AP332" s="61"/>
      <c r="AQ332" s="77">
        <f t="shared" si="11"/>
        <v>0</v>
      </c>
      <c r="AR332" s="37"/>
      <c r="AS332" s="78">
        <f t="shared" si="12"/>
        <v>0</v>
      </c>
      <c r="AT332" s="37"/>
      <c r="AU332" s="37"/>
      <c r="AV332" s="37"/>
      <c r="AW332" s="37"/>
      <c r="AX332" s="37"/>
    </row>
    <row r="333" spans="1:50" ht="20.100000000000001" customHeight="1" x14ac:dyDescent="0.25">
      <c r="A333" s="37"/>
      <c r="B333" s="58"/>
      <c r="C333" s="37"/>
      <c r="D333" s="97"/>
      <c r="E333" s="98"/>
      <c r="F333" s="101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3"/>
      <c r="T333" s="83"/>
      <c r="U333" s="85"/>
      <c r="V333" s="83"/>
      <c r="W333" s="85"/>
      <c r="X333" s="97"/>
      <c r="Y333" s="100"/>
      <c r="Z333" s="100"/>
      <c r="AA333" s="100"/>
      <c r="AB333" s="100"/>
      <c r="AC333" s="100"/>
      <c r="AD333" s="98"/>
      <c r="AE333" s="83"/>
      <c r="AF333" s="84"/>
      <c r="AG333" s="85"/>
      <c r="AH333" s="83"/>
      <c r="AI333" s="84"/>
      <c r="AJ333" s="84"/>
      <c r="AK333" s="85"/>
      <c r="AL333" s="83"/>
      <c r="AM333" s="84"/>
      <c r="AN333" s="85"/>
      <c r="AO333" s="60"/>
      <c r="AP333" s="61"/>
      <c r="AQ333" s="77">
        <f t="shared" si="11"/>
        <v>0</v>
      </c>
      <c r="AR333" s="37"/>
      <c r="AS333" s="78">
        <f t="shared" si="12"/>
        <v>0</v>
      </c>
      <c r="AT333" s="37"/>
      <c r="AU333" s="37"/>
      <c r="AV333" s="37"/>
      <c r="AW333" s="37"/>
      <c r="AX333" s="37"/>
    </row>
    <row r="334" spans="1:50" ht="20.100000000000001" customHeight="1" x14ac:dyDescent="0.25">
      <c r="A334" s="37"/>
      <c r="B334" s="58"/>
      <c r="C334" s="37"/>
      <c r="D334" s="97"/>
      <c r="E334" s="98"/>
      <c r="F334" s="101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3"/>
      <c r="T334" s="83"/>
      <c r="U334" s="85"/>
      <c r="V334" s="83"/>
      <c r="W334" s="85"/>
      <c r="X334" s="97"/>
      <c r="Y334" s="100"/>
      <c r="Z334" s="100"/>
      <c r="AA334" s="100"/>
      <c r="AB334" s="100"/>
      <c r="AC334" s="100"/>
      <c r="AD334" s="98"/>
      <c r="AE334" s="83"/>
      <c r="AF334" s="84"/>
      <c r="AG334" s="85"/>
      <c r="AH334" s="83"/>
      <c r="AI334" s="84"/>
      <c r="AJ334" s="84"/>
      <c r="AK334" s="85"/>
      <c r="AL334" s="83"/>
      <c r="AM334" s="84"/>
      <c r="AN334" s="85"/>
      <c r="AO334" s="60"/>
      <c r="AP334" s="61"/>
      <c r="AQ334" s="77">
        <f t="shared" si="11"/>
        <v>0</v>
      </c>
      <c r="AR334" s="37"/>
      <c r="AS334" s="78">
        <f t="shared" si="12"/>
        <v>0</v>
      </c>
      <c r="AT334" s="37"/>
      <c r="AU334" s="37"/>
      <c r="AV334" s="37"/>
      <c r="AW334" s="37"/>
      <c r="AX334" s="37"/>
    </row>
    <row r="335" spans="1:50" ht="20.100000000000001" customHeight="1" x14ac:dyDescent="0.25">
      <c r="A335" s="37"/>
      <c r="B335" s="58"/>
      <c r="C335" s="37"/>
      <c r="D335" s="97"/>
      <c r="E335" s="98"/>
      <c r="F335" s="101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3"/>
      <c r="T335" s="83"/>
      <c r="U335" s="85"/>
      <c r="V335" s="83"/>
      <c r="W335" s="85"/>
      <c r="X335" s="97"/>
      <c r="Y335" s="100"/>
      <c r="Z335" s="100"/>
      <c r="AA335" s="100"/>
      <c r="AB335" s="100"/>
      <c r="AC335" s="100"/>
      <c r="AD335" s="98"/>
      <c r="AE335" s="83"/>
      <c r="AF335" s="84"/>
      <c r="AG335" s="85"/>
      <c r="AH335" s="83"/>
      <c r="AI335" s="84"/>
      <c r="AJ335" s="84"/>
      <c r="AK335" s="85"/>
      <c r="AL335" s="83"/>
      <c r="AM335" s="84"/>
      <c r="AN335" s="85"/>
      <c r="AO335" s="60"/>
      <c r="AP335" s="61"/>
      <c r="AQ335" s="77">
        <f t="shared" si="11"/>
        <v>0</v>
      </c>
      <c r="AR335" s="37"/>
      <c r="AS335" s="78">
        <f t="shared" si="12"/>
        <v>0</v>
      </c>
      <c r="AT335" s="37"/>
      <c r="AU335" s="37"/>
      <c r="AV335" s="37"/>
      <c r="AW335" s="37"/>
      <c r="AX335" s="37"/>
    </row>
    <row r="336" spans="1:50" ht="20.100000000000001" customHeight="1" x14ac:dyDescent="0.25">
      <c r="A336" s="37"/>
      <c r="B336" s="58"/>
      <c r="C336" s="37"/>
      <c r="D336" s="97"/>
      <c r="E336" s="98"/>
      <c r="F336" s="101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3"/>
      <c r="T336" s="83"/>
      <c r="U336" s="85"/>
      <c r="V336" s="83"/>
      <c r="W336" s="85"/>
      <c r="X336" s="97"/>
      <c r="Y336" s="100"/>
      <c r="Z336" s="100"/>
      <c r="AA336" s="100"/>
      <c r="AB336" s="100"/>
      <c r="AC336" s="100"/>
      <c r="AD336" s="98"/>
      <c r="AE336" s="83"/>
      <c r="AF336" s="84"/>
      <c r="AG336" s="85"/>
      <c r="AH336" s="83"/>
      <c r="AI336" s="84"/>
      <c r="AJ336" s="84"/>
      <c r="AK336" s="85"/>
      <c r="AL336" s="83"/>
      <c r="AM336" s="84"/>
      <c r="AN336" s="85"/>
      <c r="AO336" s="60"/>
      <c r="AP336" s="61"/>
      <c r="AQ336" s="77">
        <f t="shared" si="11"/>
        <v>0</v>
      </c>
      <c r="AR336" s="37"/>
      <c r="AS336" s="78">
        <f t="shared" si="12"/>
        <v>0</v>
      </c>
      <c r="AT336" s="37"/>
      <c r="AU336" s="37"/>
      <c r="AV336" s="37"/>
      <c r="AW336" s="37"/>
      <c r="AX336" s="37"/>
    </row>
    <row r="337" spans="1:50" ht="20.100000000000001" customHeight="1" x14ac:dyDescent="0.25">
      <c r="A337" s="37"/>
      <c r="B337" s="58"/>
      <c r="C337" s="37"/>
      <c r="D337" s="97"/>
      <c r="E337" s="98"/>
      <c r="F337" s="101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3"/>
      <c r="T337" s="83"/>
      <c r="U337" s="85"/>
      <c r="V337" s="83"/>
      <c r="W337" s="85"/>
      <c r="X337" s="97"/>
      <c r="Y337" s="100"/>
      <c r="Z337" s="100"/>
      <c r="AA337" s="100"/>
      <c r="AB337" s="100"/>
      <c r="AC337" s="100"/>
      <c r="AD337" s="98"/>
      <c r="AE337" s="83"/>
      <c r="AF337" s="84"/>
      <c r="AG337" s="85"/>
      <c r="AH337" s="83"/>
      <c r="AI337" s="84"/>
      <c r="AJ337" s="84"/>
      <c r="AK337" s="85"/>
      <c r="AL337" s="83"/>
      <c r="AM337" s="84"/>
      <c r="AN337" s="85"/>
      <c r="AO337" s="60"/>
      <c r="AP337" s="61"/>
      <c r="AQ337" s="77">
        <f t="shared" si="11"/>
        <v>0</v>
      </c>
      <c r="AR337" s="37"/>
      <c r="AS337" s="78">
        <f t="shared" si="12"/>
        <v>0</v>
      </c>
      <c r="AT337" s="37"/>
      <c r="AU337" s="37"/>
      <c r="AV337" s="37"/>
      <c r="AW337" s="37"/>
      <c r="AX337" s="37"/>
    </row>
    <row r="338" spans="1:50" ht="20.100000000000001" customHeight="1" x14ac:dyDescent="0.25">
      <c r="A338" s="37"/>
      <c r="B338" s="58"/>
      <c r="C338" s="37"/>
      <c r="D338" s="97"/>
      <c r="E338" s="98"/>
      <c r="F338" s="101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3"/>
      <c r="T338" s="83"/>
      <c r="U338" s="85"/>
      <c r="V338" s="83"/>
      <c r="W338" s="85"/>
      <c r="X338" s="97"/>
      <c r="Y338" s="100"/>
      <c r="Z338" s="100"/>
      <c r="AA338" s="100"/>
      <c r="AB338" s="100"/>
      <c r="AC338" s="100"/>
      <c r="AD338" s="98"/>
      <c r="AE338" s="83"/>
      <c r="AF338" s="84"/>
      <c r="AG338" s="85"/>
      <c r="AH338" s="83"/>
      <c r="AI338" s="84"/>
      <c r="AJ338" s="84"/>
      <c r="AK338" s="85"/>
      <c r="AL338" s="83"/>
      <c r="AM338" s="84"/>
      <c r="AN338" s="85"/>
      <c r="AO338" s="60"/>
      <c r="AP338" s="61"/>
      <c r="AQ338" s="77">
        <f t="shared" si="11"/>
        <v>0</v>
      </c>
      <c r="AR338" s="37"/>
      <c r="AS338" s="78">
        <f t="shared" si="12"/>
        <v>0</v>
      </c>
      <c r="AT338" s="37"/>
      <c r="AU338" s="37"/>
      <c r="AV338" s="37"/>
      <c r="AW338" s="37"/>
      <c r="AX338" s="37"/>
    </row>
    <row r="339" spans="1:50" ht="20.100000000000001" customHeight="1" x14ac:dyDescent="0.25">
      <c r="A339" s="37"/>
      <c r="B339" s="58"/>
      <c r="C339" s="37"/>
      <c r="D339" s="97"/>
      <c r="E339" s="98"/>
      <c r="F339" s="101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3"/>
      <c r="T339" s="83"/>
      <c r="U339" s="85"/>
      <c r="V339" s="83"/>
      <c r="W339" s="85"/>
      <c r="X339" s="97"/>
      <c r="Y339" s="100"/>
      <c r="Z339" s="100"/>
      <c r="AA339" s="100"/>
      <c r="AB339" s="100"/>
      <c r="AC339" s="100"/>
      <c r="AD339" s="98"/>
      <c r="AE339" s="83"/>
      <c r="AF339" s="84"/>
      <c r="AG339" s="85"/>
      <c r="AH339" s="83"/>
      <c r="AI339" s="84"/>
      <c r="AJ339" s="84"/>
      <c r="AK339" s="85"/>
      <c r="AL339" s="83"/>
      <c r="AM339" s="84"/>
      <c r="AN339" s="85"/>
      <c r="AO339" s="60"/>
      <c r="AP339" s="61"/>
      <c r="AQ339" s="77">
        <f t="shared" si="11"/>
        <v>0</v>
      </c>
      <c r="AR339" s="37"/>
      <c r="AS339" s="78">
        <f t="shared" si="12"/>
        <v>0</v>
      </c>
      <c r="AT339" s="37"/>
      <c r="AU339" s="37"/>
      <c r="AV339" s="37"/>
      <c r="AW339" s="37"/>
      <c r="AX339" s="37"/>
    </row>
    <row r="340" spans="1:50" ht="20.100000000000001" customHeight="1" x14ac:dyDescent="0.25">
      <c r="A340" s="37"/>
      <c r="B340" s="58"/>
      <c r="C340" s="37"/>
      <c r="D340" s="97"/>
      <c r="E340" s="98"/>
      <c r="F340" s="101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3"/>
      <c r="T340" s="83"/>
      <c r="U340" s="85"/>
      <c r="V340" s="83"/>
      <c r="W340" s="85"/>
      <c r="X340" s="97"/>
      <c r="Y340" s="100"/>
      <c r="Z340" s="100"/>
      <c r="AA340" s="100"/>
      <c r="AB340" s="100"/>
      <c r="AC340" s="100"/>
      <c r="AD340" s="98"/>
      <c r="AE340" s="83"/>
      <c r="AF340" s="84"/>
      <c r="AG340" s="85"/>
      <c r="AH340" s="83"/>
      <c r="AI340" s="84"/>
      <c r="AJ340" s="84"/>
      <c r="AK340" s="85"/>
      <c r="AL340" s="83"/>
      <c r="AM340" s="84"/>
      <c r="AN340" s="85"/>
      <c r="AO340" s="60"/>
      <c r="AP340" s="61"/>
      <c r="AQ340" s="77">
        <f t="shared" si="11"/>
        <v>0</v>
      </c>
      <c r="AR340" s="37"/>
      <c r="AS340" s="78">
        <f t="shared" si="12"/>
        <v>0</v>
      </c>
      <c r="AT340" s="37"/>
      <c r="AU340" s="37"/>
      <c r="AV340" s="37"/>
      <c r="AW340" s="37"/>
      <c r="AX340" s="37"/>
    </row>
    <row r="341" spans="1:50" ht="20.100000000000001" customHeight="1" x14ac:dyDescent="0.25">
      <c r="A341" s="37"/>
      <c r="B341" s="58"/>
      <c r="C341" s="37"/>
      <c r="D341" s="97"/>
      <c r="E341" s="98"/>
      <c r="F341" s="101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3"/>
      <c r="T341" s="83"/>
      <c r="U341" s="85"/>
      <c r="V341" s="83"/>
      <c r="W341" s="85"/>
      <c r="X341" s="97"/>
      <c r="Y341" s="100"/>
      <c r="Z341" s="100"/>
      <c r="AA341" s="100"/>
      <c r="AB341" s="100"/>
      <c r="AC341" s="100"/>
      <c r="AD341" s="98"/>
      <c r="AE341" s="83"/>
      <c r="AF341" s="84"/>
      <c r="AG341" s="85"/>
      <c r="AH341" s="83"/>
      <c r="AI341" s="84"/>
      <c r="AJ341" s="84"/>
      <c r="AK341" s="85"/>
      <c r="AL341" s="83"/>
      <c r="AM341" s="84"/>
      <c r="AN341" s="85"/>
      <c r="AO341" s="60"/>
      <c r="AP341" s="61"/>
      <c r="AQ341" s="77">
        <f t="shared" si="11"/>
        <v>0</v>
      </c>
      <c r="AR341" s="37"/>
      <c r="AS341" s="78">
        <f t="shared" si="12"/>
        <v>0</v>
      </c>
      <c r="AT341" s="37"/>
      <c r="AU341" s="37"/>
      <c r="AV341" s="37"/>
      <c r="AW341" s="37"/>
      <c r="AX341" s="37"/>
    </row>
    <row r="342" spans="1:50" ht="20.100000000000001" customHeight="1" x14ac:dyDescent="0.25">
      <c r="A342" s="37"/>
      <c r="B342" s="58"/>
      <c r="C342" s="37"/>
      <c r="D342" s="97"/>
      <c r="E342" s="98"/>
      <c r="F342" s="101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3"/>
      <c r="T342" s="83"/>
      <c r="U342" s="85"/>
      <c r="V342" s="83"/>
      <c r="W342" s="85"/>
      <c r="X342" s="97"/>
      <c r="Y342" s="100"/>
      <c r="Z342" s="100"/>
      <c r="AA342" s="100"/>
      <c r="AB342" s="100"/>
      <c r="AC342" s="100"/>
      <c r="AD342" s="98"/>
      <c r="AE342" s="83"/>
      <c r="AF342" s="84"/>
      <c r="AG342" s="85"/>
      <c r="AH342" s="83"/>
      <c r="AI342" s="84"/>
      <c r="AJ342" s="84"/>
      <c r="AK342" s="85"/>
      <c r="AL342" s="83"/>
      <c r="AM342" s="84"/>
      <c r="AN342" s="85"/>
      <c r="AO342" s="60"/>
      <c r="AP342" s="61"/>
      <c r="AQ342" s="77">
        <f t="shared" si="11"/>
        <v>0</v>
      </c>
      <c r="AR342" s="37"/>
      <c r="AS342" s="78">
        <f t="shared" si="12"/>
        <v>0</v>
      </c>
      <c r="AT342" s="37"/>
      <c r="AU342" s="37"/>
      <c r="AV342" s="37"/>
      <c r="AW342" s="37"/>
      <c r="AX342" s="37"/>
    </row>
    <row r="343" spans="1:50" ht="20.100000000000001" customHeight="1" x14ac:dyDescent="0.25">
      <c r="A343" s="37"/>
      <c r="B343" s="58"/>
      <c r="C343" s="37"/>
      <c r="D343" s="97"/>
      <c r="E343" s="98"/>
      <c r="F343" s="101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3"/>
      <c r="T343" s="83"/>
      <c r="U343" s="85"/>
      <c r="V343" s="83"/>
      <c r="W343" s="85"/>
      <c r="X343" s="97"/>
      <c r="Y343" s="100"/>
      <c r="Z343" s="100"/>
      <c r="AA343" s="100"/>
      <c r="AB343" s="100"/>
      <c r="AC343" s="100"/>
      <c r="AD343" s="98"/>
      <c r="AE343" s="83"/>
      <c r="AF343" s="84"/>
      <c r="AG343" s="85"/>
      <c r="AH343" s="83"/>
      <c r="AI343" s="84"/>
      <c r="AJ343" s="84"/>
      <c r="AK343" s="85"/>
      <c r="AL343" s="83"/>
      <c r="AM343" s="84"/>
      <c r="AN343" s="85"/>
      <c r="AO343" s="60"/>
      <c r="AP343" s="61"/>
      <c r="AQ343" s="77">
        <f t="shared" si="11"/>
        <v>0</v>
      </c>
      <c r="AR343" s="37"/>
      <c r="AS343" s="78">
        <f t="shared" si="12"/>
        <v>0</v>
      </c>
      <c r="AT343" s="37"/>
      <c r="AU343" s="37"/>
      <c r="AV343" s="37"/>
      <c r="AW343" s="37"/>
      <c r="AX343" s="37"/>
    </row>
    <row r="344" spans="1:50" ht="20.100000000000001" customHeight="1" x14ac:dyDescent="0.25">
      <c r="A344" s="37"/>
      <c r="B344" s="58"/>
      <c r="C344" s="37"/>
      <c r="D344" s="97"/>
      <c r="E344" s="98"/>
      <c r="F344" s="101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3"/>
      <c r="T344" s="83"/>
      <c r="U344" s="85"/>
      <c r="V344" s="83"/>
      <c r="W344" s="85"/>
      <c r="X344" s="97"/>
      <c r="Y344" s="100"/>
      <c r="Z344" s="100"/>
      <c r="AA344" s="100"/>
      <c r="AB344" s="100"/>
      <c r="AC344" s="100"/>
      <c r="AD344" s="98"/>
      <c r="AE344" s="83"/>
      <c r="AF344" s="84"/>
      <c r="AG344" s="85"/>
      <c r="AH344" s="83"/>
      <c r="AI344" s="84"/>
      <c r="AJ344" s="84"/>
      <c r="AK344" s="85"/>
      <c r="AL344" s="83"/>
      <c r="AM344" s="84"/>
      <c r="AN344" s="85"/>
      <c r="AO344" s="60"/>
      <c r="AP344" s="61"/>
      <c r="AQ344" s="77">
        <f t="shared" si="11"/>
        <v>0</v>
      </c>
      <c r="AR344" s="37"/>
      <c r="AS344" s="78">
        <f t="shared" si="12"/>
        <v>0</v>
      </c>
      <c r="AT344" s="37"/>
      <c r="AU344" s="37"/>
      <c r="AV344" s="37"/>
      <c r="AW344" s="37"/>
      <c r="AX344" s="37"/>
    </row>
    <row r="345" spans="1:50" ht="20.100000000000001" customHeight="1" x14ac:dyDescent="0.25">
      <c r="A345" s="37"/>
      <c r="B345" s="58"/>
      <c r="C345" s="37"/>
      <c r="D345" s="97"/>
      <c r="E345" s="98"/>
      <c r="F345" s="101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3"/>
      <c r="T345" s="83"/>
      <c r="U345" s="85"/>
      <c r="V345" s="83"/>
      <c r="W345" s="85"/>
      <c r="X345" s="97"/>
      <c r="Y345" s="100"/>
      <c r="Z345" s="100"/>
      <c r="AA345" s="100"/>
      <c r="AB345" s="100"/>
      <c r="AC345" s="100"/>
      <c r="AD345" s="98"/>
      <c r="AE345" s="83"/>
      <c r="AF345" s="84"/>
      <c r="AG345" s="85"/>
      <c r="AH345" s="83"/>
      <c r="AI345" s="84"/>
      <c r="AJ345" s="84"/>
      <c r="AK345" s="85"/>
      <c r="AL345" s="83"/>
      <c r="AM345" s="84"/>
      <c r="AN345" s="85"/>
      <c r="AO345" s="60"/>
      <c r="AP345" s="61"/>
      <c r="AQ345" s="77">
        <f t="shared" si="11"/>
        <v>0</v>
      </c>
      <c r="AR345" s="37"/>
      <c r="AS345" s="78">
        <f t="shared" si="12"/>
        <v>0</v>
      </c>
      <c r="AT345" s="37"/>
      <c r="AU345" s="37"/>
      <c r="AV345" s="37"/>
      <c r="AW345" s="37"/>
      <c r="AX345" s="37"/>
    </row>
    <row r="346" spans="1:50" ht="20.100000000000001" customHeight="1" x14ac:dyDescent="0.25">
      <c r="A346" s="37"/>
      <c r="B346" s="58"/>
      <c r="C346" s="37"/>
      <c r="D346" s="97"/>
      <c r="E346" s="98"/>
      <c r="F346" s="101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3"/>
      <c r="T346" s="83"/>
      <c r="U346" s="85"/>
      <c r="V346" s="83"/>
      <c r="W346" s="85"/>
      <c r="X346" s="97"/>
      <c r="Y346" s="100"/>
      <c r="Z346" s="100"/>
      <c r="AA346" s="100"/>
      <c r="AB346" s="100"/>
      <c r="AC346" s="100"/>
      <c r="AD346" s="98"/>
      <c r="AE346" s="83"/>
      <c r="AF346" s="84"/>
      <c r="AG346" s="85"/>
      <c r="AH346" s="83"/>
      <c r="AI346" s="84"/>
      <c r="AJ346" s="84"/>
      <c r="AK346" s="85"/>
      <c r="AL346" s="83"/>
      <c r="AM346" s="84"/>
      <c r="AN346" s="85"/>
      <c r="AO346" s="60"/>
      <c r="AP346" s="61"/>
      <c r="AQ346" s="77">
        <f t="shared" si="11"/>
        <v>0</v>
      </c>
      <c r="AR346" s="37"/>
      <c r="AS346" s="78">
        <f t="shared" si="12"/>
        <v>0</v>
      </c>
      <c r="AT346" s="37"/>
      <c r="AU346" s="37"/>
      <c r="AV346" s="37"/>
      <c r="AW346" s="37"/>
      <c r="AX346" s="37"/>
    </row>
    <row r="347" spans="1:50" ht="20.100000000000001" customHeight="1" x14ac:dyDescent="0.25">
      <c r="A347" s="37"/>
      <c r="B347" s="58"/>
      <c r="C347" s="37"/>
      <c r="D347" s="97"/>
      <c r="E347" s="98"/>
      <c r="F347" s="101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3"/>
      <c r="T347" s="83"/>
      <c r="U347" s="85"/>
      <c r="V347" s="83"/>
      <c r="W347" s="85"/>
      <c r="X347" s="97"/>
      <c r="Y347" s="100"/>
      <c r="Z347" s="100"/>
      <c r="AA347" s="100"/>
      <c r="AB347" s="100"/>
      <c r="AC347" s="100"/>
      <c r="AD347" s="98"/>
      <c r="AE347" s="83"/>
      <c r="AF347" s="84"/>
      <c r="AG347" s="85"/>
      <c r="AH347" s="83"/>
      <c r="AI347" s="84"/>
      <c r="AJ347" s="84"/>
      <c r="AK347" s="85"/>
      <c r="AL347" s="83"/>
      <c r="AM347" s="84"/>
      <c r="AN347" s="85"/>
      <c r="AO347" s="60"/>
      <c r="AP347" s="61"/>
      <c r="AQ347" s="77">
        <f t="shared" si="11"/>
        <v>0</v>
      </c>
      <c r="AR347" s="37"/>
      <c r="AS347" s="78">
        <f t="shared" si="12"/>
        <v>0</v>
      </c>
      <c r="AT347" s="37"/>
      <c r="AU347" s="37"/>
      <c r="AV347" s="37"/>
      <c r="AW347" s="37"/>
      <c r="AX347" s="37"/>
    </row>
    <row r="348" spans="1:50" ht="20.100000000000001" customHeight="1" x14ac:dyDescent="0.25">
      <c r="A348" s="37"/>
      <c r="B348" s="58"/>
      <c r="C348" s="37"/>
      <c r="D348" s="97"/>
      <c r="E348" s="98"/>
      <c r="F348" s="101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3"/>
      <c r="T348" s="83"/>
      <c r="U348" s="85"/>
      <c r="V348" s="83"/>
      <c r="W348" s="85"/>
      <c r="X348" s="97"/>
      <c r="Y348" s="100"/>
      <c r="Z348" s="100"/>
      <c r="AA348" s="100"/>
      <c r="AB348" s="100"/>
      <c r="AC348" s="100"/>
      <c r="AD348" s="98"/>
      <c r="AE348" s="83"/>
      <c r="AF348" s="84"/>
      <c r="AG348" s="85"/>
      <c r="AH348" s="83"/>
      <c r="AI348" s="84"/>
      <c r="AJ348" s="84"/>
      <c r="AK348" s="85"/>
      <c r="AL348" s="83"/>
      <c r="AM348" s="84"/>
      <c r="AN348" s="85"/>
      <c r="AO348" s="60"/>
      <c r="AP348" s="61"/>
      <c r="AQ348" s="77">
        <f t="shared" si="11"/>
        <v>0</v>
      </c>
      <c r="AR348" s="37"/>
      <c r="AS348" s="78">
        <f t="shared" si="12"/>
        <v>0</v>
      </c>
      <c r="AT348" s="37"/>
      <c r="AU348" s="37"/>
      <c r="AV348" s="37"/>
      <c r="AW348" s="37"/>
      <c r="AX348" s="37"/>
    </row>
    <row r="349" spans="1:50" ht="20.100000000000001" customHeight="1" x14ac:dyDescent="0.25">
      <c r="A349" s="37"/>
      <c r="B349" s="58"/>
      <c r="C349" s="37"/>
      <c r="D349" s="97"/>
      <c r="E349" s="98"/>
      <c r="F349" s="101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3"/>
      <c r="T349" s="83"/>
      <c r="U349" s="85"/>
      <c r="V349" s="83"/>
      <c r="W349" s="85"/>
      <c r="X349" s="97"/>
      <c r="Y349" s="100"/>
      <c r="Z349" s="100"/>
      <c r="AA349" s="100"/>
      <c r="AB349" s="100"/>
      <c r="AC349" s="100"/>
      <c r="AD349" s="98"/>
      <c r="AE349" s="83"/>
      <c r="AF349" s="84"/>
      <c r="AG349" s="85"/>
      <c r="AH349" s="83"/>
      <c r="AI349" s="84"/>
      <c r="AJ349" s="84"/>
      <c r="AK349" s="85"/>
      <c r="AL349" s="83"/>
      <c r="AM349" s="84"/>
      <c r="AN349" s="85"/>
      <c r="AO349" s="60"/>
      <c r="AP349" s="61"/>
      <c r="AQ349" s="77">
        <f t="shared" si="11"/>
        <v>0</v>
      </c>
      <c r="AR349" s="37"/>
      <c r="AS349" s="78">
        <f t="shared" si="12"/>
        <v>0</v>
      </c>
      <c r="AT349" s="37"/>
      <c r="AU349" s="37"/>
      <c r="AV349" s="37"/>
      <c r="AW349" s="37"/>
      <c r="AX349" s="37"/>
    </row>
    <row r="350" spans="1:50" ht="20.100000000000001" customHeight="1" x14ac:dyDescent="0.25">
      <c r="A350" s="37"/>
      <c r="B350" s="58"/>
      <c r="C350" s="37"/>
      <c r="D350" s="97"/>
      <c r="E350" s="98"/>
      <c r="F350" s="101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3"/>
      <c r="T350" s="83"/>
      <c r="U350" s="85"/>
      <c r="V350" s="83"/>
      <c r="W350" s="85"/>
      <c r="X350" s="97"/>
      <c r="Y350" s="100"/>
      <c r="Z350" s="100"/>
      <c r="AA350" s="100"/>
      <c r="AB350" s="100"/>
      <c r="AC350" s="100"/>
      <c r="AD350" s="98"/>
      <c r="AE350" s="83"/>
      <c r="AF350" s="84"/>
      <c r="AG350" s="85"/>
      <c r="AH350" s="83"/>
      <c r="AI350" s="84"/>
      <c r="AJ350" s="84"/>
      <c r="AK350" s="85"/>
      <c r="AL350" s="83"/>
      <c r="AM350" s="84"/>
      <c r="AN350" s="85"/>
      <c r="AO350" s="60"/>
      <c r="AP350" s="61"/>
      <c r="AQ350" s="77">
        <f t="shared" si="11"/>
        <v>0</v>
      </c>
      <c r="AR350" s="37"/>
      <c r="AS350" s="78">
        <f t="shared" si="12"/>
        <v>0</v>
      </c>
      <c r="AT350" s="37"/>
      <c r="AU350" s="37"/>
      <c r="AV350" s="37"/>
      <c r="AW350" s="37"/>
      <c r="AX350" s="37"/>
    </row>
    <row r="351" spans="1:50" ht="20.100000000000001" customHeight="1" x14ac:dyDescent="0.25">
      <c r="A351" s="37"/>
      <c r="B351" s="58"/>
      <c r="C351" s="37"/>
      <c r="D351" s="97"/>
      <c r="E351" s="98"/>
      <c r="F351" s="101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3"/>
      <c r="T351" s="83"/>
      <c r="U351" s="85"/>
      <c r="V351" s="83"/>
      <c r="W351" s="85"/>
      <c r="X351" s="97"/>
      <c r="Y351" s="100"/>
      <c r="Z351" s="100"/>
      <c r="AA351" s="100"/>
      <c r="AB351" s="100"/>
      <c r="AC351" s="100"/>
      <c r="AD351" s="98"/>
      <c r="AE351" s="83"/>
      <c r="AF351" s="84"/>
      <c r="AG351" s="85"/>
      <c r="AH351" s="83"/>
      <c r="AI351" s="84"/>
      <c r="AJ351" s="84"/>
      <c r="AK351" s="85"/>
      <c r="AL351" s="83"/>
      <c r="AM351" s="84"/>
      <c r="AN351" s="85"/>
      <c r="AO351" s="60"/>
      <c r="AP351" s="61"/>
      <c r="AQ351" s="77">
        <f t="shared" si="11"/>
        <v>0</v>
      </c>
      <c r="AR351" s="37"/>
      <c r="AS351" s="78">
        <f t="shared" si="12"/>
        <v>0</v>
      </c>
      <c r="AT351" s="37"/>
      <c r="AU351" s="37"/>
      <c r="AV351" s="37"/>
      <c r="AW351" s="37"/>
      <c r="AX351" s="37"/>
    </row>
    <row r="352" spans="1:50" ht="20.100000000000001" customHeight="1" x14ac:dyDescent="0.25">
      <c r="A352" s="37"/>
      <c r="B352" s="58"/>
      <c r="C352" s="37"/>
      <c r="D352" s="97"/>
      <c r="E352" s="98"/>
      <c r="F352" s="101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3"/>
      <c r="T352" s="83"/>
      <c r="U352" s="85"/>
      <c r="V352" s="83"/>
      <c r="W352" s="85"/>
      <c r="X352" s="97"/>
      <c r="Y352" s="100"/>
      <c r="Z352" s="100"/>
      <c r="AA352" s="100"/>
      <c r="AB352" s="100"/>
      <c r="AC352" s="100"/>
      <c r="AD352" s="98"/>
      <c r="AE352" s="83"/>
      <c r="AF352" s="84"/>
      <c r="AG352" s="85"/>
      <c r="AH352" s="83"/>
      <c r="AI352" s="84"/>
      <c r="AJ352" s="84"/>
      <c r="AK352" s="85"/>
      <c r="AL352" s="83"/>
      <c r="AM352" s="84"/>
      <c r="AN352" s="85"/>
      <c r="AO352" s="60"/>
      <c r="AP352" s="61"/>
      <c r="AQ352" s="77">
        <f t="shared" si="11"/>
        <v>0</v>
      </c>
      <c r="AR352" s="37"/>
      <c r="AS352" s="78">
        <f t="shared" si="12"/>
        <v>0</v>
      </c>
      <c r="AT352" s="37"/>
      <c r="AU352" s="37"/>
      <c r="AV352" s="37"/>
      <c r="AW352" s="37"/>
      <c r="AX352" s="37"/>
    </row>
    <row r="353" spans="1:50" ht="20.100000000000001" customHeight="1" x14ac:dyDescent="0.25">
      <c r="A353" s="37"/>
      <c r="B353" s="58"/>
      <c r="C353" s="37"/>
      <c r="D353" s="97"/>
      <c r="E353" s="98"/>
      <c r="F353" s="101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3"/>
      <c r="T353" s="83"/>
      <c r="U353" s="85"/>
      <c r="V353" s="83"/>
      <c r="W353" s="85"/>
      <c r="X353" s="97"/>
      <c r="Y353" s="100"/>
      <c r="Z353" s="100"/>
      <c r="AA353" s="100"/>
      <c r="AB353" s="100"/>
      <c r="AC353" s="100"/>
      <c r="AD353" s="98"/>
      <c r="AE353" s="83"/>
      <c r="AF353" s="84"/>
      <c r="AG353" s="85"/>
      <c r="AH353" s="83"/>
      <c r="AI353" s="84"/>
      <c r="AJ353" s="84"/>
      <c r="AK353" s="85"/>
      <c r="AL353" s="83"/>
      <c r="AM353" s="84"/>
      <c r="AN353" s="85"/>
      <c r="AO353" s="60"/>
      <c r="AP353" s="61"/>
      <c r="AQ353" s="77">
        <f t="shared" si="11"/>
        <v>0</v>
      </c>
      <c r="AR353" s="37"/>
      <c r="AS353" s="78">
        <f t="shared" si="12"/>
        <v>0</v>
      </c>
      <c r="AT353" s="37"/>
      <c r="AU353" s="37"/>
      <c r="AV353" s="37"/>
      <c r="AW353" s="37"/>
      <c r="AX353" s="37"/>
    </row>
    <row r="354" spans="1:50" ht="20.100000000000001" customHeight="1" x14ac:dyDescent="0.25">
      <c r="A354" s="37"/>
      <c r="B354" s="58"/>
      <c r="C354" s="37"/>
      <c r="D354" s="97"/>
      <c r="E354" s="98"/>
      <c r="F354" s="101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3"/>
      <c r="T354" s="83"/>
      <c r="U354" s="85"/>
      <c r="V354" s="83"/>
      <c r="W354" s="85"/>
      <c r="X354" s="97"/>
      <c r="Y354" s="100"/>
      <c r="Z354" s="100"/>
      <c r="AA354" s="100"/>
      <c r="AB354" s="100"/>
      <c r="AC354" s="100"/>
      <c r="AD354" s="98"/>
      <c r="AE354" s="83"/>
      <c r="AF354" s="84"/>
      <c r="AG354" s="85"/>
      <c r="AH354" s="83"/>
      <c r="AI354" s="84"/>
      <c r="AJ354" s="84"/>
      <c r="AK354" s="85"/>
      <c r="AL354" s="83"/>
      <c r="AM354" s="84"/>
      <c r="AN354" s="85"/>
      <c r="AO354" s="60"/>
      <c r="AP354" s="61"/>
      <c r="AQ354" s="77">
        <f t="shared" si="11"/>
        <v>0</v>
      </c>
      <c r="AR354" s="37"/>
      <c r="AS354" s="78">
        <f t="shared" si="12"/>
        <v>0</v>
      </c>
      <c r="AT354" s="37"/>
      <c r="AU354" s="37"/>
      <c r="AV354" s="37"/>
      <c r="AW354" s="37"/>
      <c r="AX354" s="37"/>
    </row>
    <row r="355" spans="1:50" ht="20.100000000000001" customHeight="1" x14ac:dyDescent="0.25">
      <c r="A355" s="37"/>
      <c r="B355" s="58"/>
      <c r="C355" s="37"/>
      <c r="D355" s="97"/>
      <c r="E355" s="98"/>
      <c r="F355" s="101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3"/>
      <c r="T355" s="83"/>
      <c r="U355" s="85"/>
      <c r="V355" s="83"/>
      <c r="W355" s="85"/>
      <c r="X355" s="97"/>
      <c r="Y355" s="100"/>
      <c r="Z355" s="100"/>
      <c r="AA355" s="100"/>
      <c r="AB355" s="100"/>
      <c r="AC355" s="100"/>
      <c r="AD355" s="98"/>
      <c r="AE355" s="83"/>
      <c r="AF355" s="84"/>
      <c r="AG355" s="85"/>
      <c r="AH355" s="83"/>
      <c r="AI355" s="84"/>
      <c r="AJ355" s="84"/>
      <c r="AK355" s="85"/>
      <c r="AL355" s="83"/>
      <c r="AM355" s="84"/>
      <c r="AN355" s="85"/>
      <c r="AO355" s="60"/>
      <c r="AP355" s="61"/>
      <c r="AQ355" s="77">
        <f t="shared" si="11"/>
        <v>0</v>
      </c>
      <c r="AR355" s="37"/>
      <c r="AS355" s="78">
        <f t="shared" si="12"/>
        <v>0</v>
      </c>
      <c r="AT355" s="37"/>
      <c r="AU355" s="37"/>
      <c r="AV355" s="37"/>
      <c r="AW355" s="37"/>
      <c r="AX355" s="37"/>
    </row>
    <row r="356" spans="1:50" ht="20.100000000000001" customHeight="1" x14ac:dyDescent="0.25">
      <c r="A356" s="37"/>
      <c r="B356" s="58"/>
      <c r="C356" s="37"/>
      <c r="D356" s="97"/>
      <c r="E356" s="98"/>
      <c r="F356" s="101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3"/>
      <c r="T356" s="83"/>
      <c r="U356" s="85"/>
      <c r="V356" s="83"/>
      <c r="W356" s="85"/>
      <c r="X356" s="97"/>
      <c r="Y356" s="100"/>
      <c r="Z356" s="100"/>
      <c r="AA356" s="100"/>
      <c r="AB356" s="100"/>
      <c r="AC356" s="100"/>
      <c r="AD356" s="98"/>
      <c r="AE356" s="83"/>
      <c r="AF356" s="84"/>
      <c r="AG356" s="85"/>
      <c r="AH356" s="83"/>
      <c r="AI356" s="84"/>
      <c r="AJ356" s="84"/>
      <c r="AK356" s="85"/>
      <c r="AL356" s="83"/>
      <c r="AM356" s="84"/>
      <c r="AN356" s="85"/>
      <c r="AO356" s="60"/>
      <c r="AP356" s="61"/>
      <c r="AQ356" s="77">
        <f t="shared" si="11"/>
        <v>0</v>
      </c>
      <c r="AR356" s="37"/>
      <c r="AS356" s="78">
        <f t="shared" si="12"/>
        <v>0</v>
      </c>
      <c r="AT356" s="37"/>
      <c r="AU356" s="37"/>
      <c r="AV356" s="37"/>
      <c r="AW356" s="37"/>
      <c r="AX356" s="37"/>
    </row>
    <row r="357" spans="1:50" ht="20.100000000000001" customHeight="1" x14ac:dyDescent="0.25">
      <c r="A357" s="37"/>
      <c r="B357" s="58"/>
      <c r="C357" s="37"/>
      <c r="D357" s="97"/>
      <c r="E357" s="98"/>
      <c r="F357" s="101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3"/>
      <c r="T357" s="83"/>
      <c r="U357" s="85"/>
      <c r="V357" s="83"/>
      <c r="W357" s="85"/>
      <c r="X357" s="97"/>
      <c r="Y357" s="100"/>
      <c r="Z357" s="100"/>
      <c r="AA357" s="100"/>
      <c r="AB357" s="100"/>
      <c r="AC357" s="100"/>
      <c r="AD357" s="98"/>
      <c r="AE357" s="83"/>
      <c r="AF357" s="84"/>
      <c r="AG357" s="85"/>
      <c r="AH357" s="83"/>
      <c r="AI357" s="84"/>
      <c r="AJ357" s="84"/>
      <c r="AK357" s="85"/>
      <c r="AL357" s="83"/>
      <c r="AM357" s="84"/>
      <c r="AN357" s="85"/>
      <c r="AO357" s="60"/>
      <c r="AP357" s="61"/>
      <c r="AQ357" s="77">
        <f t="shared" si="11"/>
        <v>0</v>
      </c>
      <c r="AR357" s="37"/>
      <c r="AS357" s="78">
        <f t="shared" si="12"/>
        <v>0</v>
      </c>
      <c r="AT357" s="37"/>
      <c r="AU357" s="37"/>
      <c r="AV357" s="37"/>
      <c r="AW357" s="37"/>
      <c r="AX357" s="37"/>
    </row>
    <row r="358" spans="1:50" ht="20.100000000000001" customHeight="1" x14ac:dyDescent="0.25">
      <c r="A358" s="37"/>
      <c r="B358" s="58"/>
      <c r="C358" s="37"/>
      <c r="D358" s="97"/>
      <c r="E358" s="98"/>
      <c r="F358" s="101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3"/>
      <c r="T358" s="83"/>
      <c r="U358" s="85"/>
      <c r="V358" s="83"/>
      <c r="W358" s="85"/>
      <c r="X358" s="97"/>
      <c r="Y358" s="100"/>
      <c r="Z358" s="100"/>
      <c r="AA358" s="100"/>
      <c r="AB358" s="100"/>
      <c r="AC358" s="100"/>
      <c r="AD358" s="98"/>
      <c r="AE358" s="83"/>
      <c r="AF358" s="84"/>
      <c r="AG358" s="85"/>
      <c r="AH358" s="83"/>
      <c r="AI358" s="84"/>
      <c r="AJ358" s="84"/>
      <c r="AK358" s="85"/>
      <c r="AL358" s="83"/>
      <c r="AM358" s="84"/>
      <c r="AN358" s="85"/>
      <c r="AO358" s="60"/>
      <c r="AP358" s="61"/>
      <c r="AQ358" s="77">
        <f t="shared" si="11"/>
        <v>0</v>
      </c>
      <c r="AR358" s="37"/>
      <c r="AS358" s="78">
        <f t="shared" si="12"/>
        <v>0</v>
      </c>
      <c r="AT358" s="37"/>
      <c r="AU358" s="37"/>
      <c r="AV358" s="37"/>
      <c r="AW358" s="37"/>
      <c r="AX358" s="37"/>
    </row>
    <row r="359" spans="1:50" ht="20.100000000000001" customHeight="1" x14ac:dyDescent="0.25">
      <c r="A359" s="37"/>
      <c r="B359" s="58"/>
      <c r="C359" s="37"/>
      <c r="D359" s="97"/>
      <c r="E359" s="98"/>
      <c r="F359" s="101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3"/>
      <c r="T359" s="83"/>
      <c r="U359" s="85"/>
      <c r="V359" s="83"/>
      <c r="W359" s="85"/>
      <c r="X359" s="97"/>
      <c r="Y359" s="100"/>
      <c r="Z359" s="100"/>
      <c r="AA359" s="100"/>
      <c r="AB359" s="100"/>
      <c r="AC359" s="100"/>
      <c r="AD359" s="98"/>
      <c r="AE359" s="83"/>
      <c r="AF359" s="84"/>
      <c r="AG359" s="85"/>
      <c r="AH359" s="83"/>
      <c r="AI359" s="84"/>
      <c r="AJ359" s="84"/>
      <c r="AK359" s="85"/>
      <c r="AL359" s="83"/>
      <c r="AM359" s="84"/>
      <c r="AN359" s="85"/>
      <c r="AO359" s="60"/>
      <c r="AP359" s="61"/>
      <c r="AQ359" s="77">
        <f t="shared" si="11"/>
        <v>0</v>
      </c>
      <c r="AR359" s="37"/>
      <c r="AS359" s="78">
        <f t="shared" si="12"/>
        <v>0</v>
      </c>
      <c r="AT359" s="37"/>
      <c r="AU359" s="37"/>
      <c r="AV359" s="37"/>
      <c r="AW359" s="37"/>
      <c r="AX359" s="37"/>
    </row>
    <row r="360" spans="1:50" ht="20.100000000000001" customHeight="1" x14ac:dyDescent="0.25">
      <c r="A360" s="37"/>
      <c r="B360" s="58"/>
      <c r="C360" s="37"/>
      <c r="D360" s="97"/>
      <c r="E360" s="98"/>
      <c r="F360" s="101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3"/>
      <c r="T360" s="83"/>
      <c r="U360" s="85"/>
      <c r="V360" s="83"/>
      <c r="W360" s="85"/>
      <c r="X360" s="97"/>
      <c r="Y360" s="100"/>
      <c r="Z360" s="100"/>
      <c r="AA360" s="100"/>
      <c r="AB360" s="100"/>
      <c r="AC360" s="100"/>
      <c r="AD360" s="98"/>
      <c r="AE360" s="83"/>
      <c r="AF360" s="84"/>
      <c r="AG360" s="85"/>
      <c r="AH360" s="83"/>
      <c r="AI360" s="84"/>
      <c r="AJ360" s="84"/>
      <c r="AK360" s="85"/>
      <c r="AL360" s="83"/>
      <c r="AM360" s="84"/>
      <c r="AN360" s="85"/>
      <c r="AO360" s="60"/>
      <c r="AP360" s="61"/>
      <c r="AQ360" s="77">
        <f t="shared" si="11"/>
        <v>0</v>
      </c>
      <c r="AR360" s="37"/>
      <c r="AS360" s="78">
        <f t="shared" si="12"/>
        <v>0</v>
      </c>
      <c r="AT360" s="37"/>
      <c r="AU360" s="37"/>
      <c r="AV360" s="37"/>
      <c r="AW360" s="37"/>
      <c r="AX360" s="37"/>
    </row>
    <row r="361" spans="1:50" ht="20.100000000000001" customHeight="1" x14ac:dyDescent="0.25">
      <c r="A361" s="37"/>
      <c r="B361" s="58"/>
      <c r="C361" s="37"/>
      <c r="D361" s="97"/>
      <c r="E361" s="98"/>
      <c r="F361" s="101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3"/>
      <c r="T361" s="83"/>
      <c r="U361" s="85"/>
      <c r="V361" s="83"/>
      <c r="W361" s="85"/>
      <c r="X361" s="97"/>
      <c r="Y361" s="100"/>
      <c r="Z361" s="100"/>
      <c r="AA361" s="100"/>
      <c r="AB361" s="100"/>
      <c r="AC361" s="100"/>
      <c r="AD361" s="98"/>
      <c r="AE361" s="83"/>
      <c r="AF361" s="84"/>
      <c r="AG361" s="85"/>
      <c r="AH361" s="83"/>
      <c r="AI361" s="84"/>
      <c r="AJ361" s="84"/>
      <c r="AK361" s="85"/>
      <c r="AL361" s="83"/>
      <c r="AM361" s="84"/>
      <c r="AN361" s="85"/>
      <c r="AO361" s="60"/>
      <c r="AP361" s="61"/>
      <c r="AQ361" s="77">
        <f t="shared" si="11"/>
        <v>0</v>
      </c>
      <c r="AR361" s="37"/>
      <c r="AS361" s="78">
        <f t="shared" si="12"/>
        <v>0</v>
      </c>
      <c r="AT361" s="37"/>
      <c r="AU361" s="37"/>
      <c r="AV361" s="37"/>
      <c r="AW361" s="37"/>
      <c r="AX361" s="37"/>
    </row>
    <row r="362" spans="1:50" ht="20.100000000000001" customHeight="1" x14ac:dyDescent="0.25">
      <c r="A362" s="37"/>
      <c r="B362" s="58"/>
      <c r="C362" s="37"/>
      <c r="D362" s="97"/>
      <c r="E362" s="98"/>
      <c r="F362" s="101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3"/>
      <c r="T362" s="83"/>
      <c r="U362" s="85"/>
      <c r="V362" s="83"/>
      <c r="W362" s="85"/>
      <c r="X362" s="97"/>
      <c r="Y362" s="100"/>
      <c r="Z362" s="100"/>
      <c r="AA362" s="100"/>
      <c r="AB362" s="100"/>
      <c r="AC362" s="100"/>
      <c r="AD362" s="98"/>
      <c r="AE362" s="83"/>
      <c r="AF362" s="84"/>
      <c r="AG362" s="85"/>
      <c r="AH362" s="83"/>
      <c r="AI362" s="84"/>
      <c r="AJ362" s="84"/>
      <c r="AK362" s="85"/>
      <c r="AL362" s="83"/>
      <c r="AM362" s="84"/>
      <c r="AN362" s="85"/>
      <c r="AO362" s="60"/>
      <c r="AP362" s="61"/>
      <c r="AQ362" s="77">
        <f t="shared" si="11"/>
        <v>0</v>
      </c>
      <c r="AR362" s="37"/>
      <c r="AS362" s="78">
        <f t="shared" si="12"/>
        <v>0</v>
      </c>
      <c r="AT362" s="37"/>
      <c r="AU362" s="37"/>
      <c r="AV362" s="37"/>
      <c r="AW362" s="37"/>
      <c r="AX362" s="37"/>
    </row>
    <row r="363" spans="1:50" ht="20.100000000000001" customHeight="1" x14ac:dyDescent="0.25">
      <c r="A363" s="37"/>
      <c r="B363" s="58"/>
      <c r="C363" s="37"/>
      <c r="D363" s="97"/>
      <c r="E363" s="98"/>
      <c r="F363" s="101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3"/>
      <c r="T363" s="83"/>
      <c r="U363" s="85"/>
      <c r="V363" s="83"/>
      <c r="W363" s="85"/>
      <c r="X363" s="97"/>
      <c r="Y363" s="100"/>
      <c r="Z363" s="100"/>
      <c r="AA363" s="100"/>
      <c r="AB363" s="100"/>
      <c r="AC363" s="100"/>
      <c r="AD363" s="98"/>
      <c r="AE363" s="83"/>
      <c r="AF363" s="84"/>
      <c r="AG363" s="85"/>
      <c r="AH363" s="83"/>
      <c r="AI363" s="84"/>
      <c r="AJ363" s="84"/>
      <c r="AK363" s="85"/>
      <c r="AL363" s="83"/>
      <c r="AM363" s="84"/>
      <c r="AN363" s="85"/>
      <c r="AO363" s="60"/>
      <c r="AP363" s="61"/>
      <c r="AQ363" s="77">
        <f t="shared" si="11"/>
        <v>0</v>
      </c>
      <c r="AR363" s="37"/>
      <c r="AS363" s="78">
        <f t="shared" si="12"/>
        <v>0</v>
      </c>
      <c r="AT363" s="37"/>
      <c r="AU363" s="37"/>
      <c r="AV363" s="37"/>
      <c r="AW363" s="37"/>
      <c r="AX363" s="37"/>
    </row>
    <row r="364" spans="1:50" ht="20.100000000000001" customHeight="1" x14ac:dyDescent="0.25">
      <c r="A364" s="37"/>
      <c r="B364" s="58"/>
      <c r="C364" s="37"/>
      <c r="D364" s="97"/>
      <c r="E364" s="98"/>
      <c r="F364" s="101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3"/>
      <c r="T364" s="83"/>
      <c r="U364" s="85"/>
      <c r="V364" s="83"/>
      <c r="W364" s="85"/>
      <c r="X364" s="97"/>
      <c r="Y364" s="100"/>
      <c r="Z364" s="100"/>
      <c r="AA364" s="100"/>
      <c r="AB364" s="100"/>
      <c r="AC364" s="100"/>
      <c r="AD364" s="98"/>
      <c r="AE364" s="83"/>
      <c r="AF364" s="84"/>
      <c r="AG364" s="85"/>
      <c r="AH364" s="83"/>
      <c r="AI364" s="84"/>
      <c r="AJ364" s="84"/>
      <c r="AK364" s="85"/>
      <c r="AL364" s="83"/>
      <c r="AM364" s="84"/>
      <c r="AN364" s="85"/>
      <c r="AO364" s="60"/>
      <c r="AP364" s="61"/>
      <c r="AQ364" s="77">
        <f t="shared" si="11"/>
        <v>0</v>
      </c>
      <c r="AR364" s="37"/>
      <c r="AS364" s="78">
        <f t="shared" si="12"/>
        <v>0</v>
      </c>
      <c r="AT364" s="37"/>
      <c r="AU364" s="37"/>
      <c r="AV364" s="37"/>
      <c r="AW364" s="37"/>
      <c r="AX364" s="37"/>
    </row>
    <row r="365" spans="1:50" ht="20.100000000000001" customHeight="1" x14ac:dyDescent="0.25">
      <c r="A365" s="37"/>
      <c r="B365" s="58"/>
      <c r="C365" s="37"/>
      <c r="D365" s="97"/>
      <c r="E365" s="98"/>
      <c r="F365" s="101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3"/>
      <c r="T365" s="83"/>
      <c r="U365" s="85"/>
      <c r="V365" s="83"/>
      <c r="W365" s="85"/>
      <c r="X365" s="97"/>
      <c r="Y365" s="100"/>
      <c r="Z365" s="100"/>
      <c r="AA365" s="100"/>
      <c r="AB365" s="100"/>
      <c r="AC365" s="100"/>
      <c r="AD365" s="98"/>
      <c r="AE365" s="83"/>
      <c r="AF365" s="84"/>
      <c r="AG365" s="85"/>
      <c r="AH365" s="83"/>
      <c r="AI365" s="84"/>
      <c r="AJ365" s="84"/>
      <c r="AK365" s="85"/>
      <c r="AL365" s="83"/>
      <c r="AM365" s="84"/>
      <c r="AN365" s="85"/>
      <c r="AO365" s="60"/>
      <c r="AP365" s="61"/>
      <c r="AQ365" s="77">
        <f t="shared" si="11"/>
        <v>0</v>
      </c>
      <c r="AR365" s="37"/>
      <c r="AS365" s="78">
        <f t="shared" si="12"/>
        <v>0</v>
      </c>
      <c r="AT365" s="37"/>
      <c r="AU365" s="37"/>
      <c r="AV365" s="37"/>
      <c r="AW365" s="37"/>
      <c r="AX365" s="37"/>
    </row>
    <row r="366" spans="1:50" ht="20.100000000000001" customHeight="1" x14ac:dyDescent="0.25">
      <c r="A366" s="37"/>
      <c r="B366" s="58"/>
      <c r="C366" s="37"/>
      <c r="D366" s="97"/>
      <c r="E366" s="98"/>
      <c r="F366" s="101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3"/>
      <c r="T366" s="83"/>
      <c r="U366" s="85"/>
      <c r="V366" s="83"/>
      <c r="W366" s="85"/>
      <c r="X366" s="97"/>
      <c r="Y366" s="100"/>
      <c r="Z366" s="100"/>
      <c r="AA366" s="100"/>
      <c r="AB366" s="100"/>
      <c r="AC366" s="100"/>
      <c r="AD366" s="98"/>
      <c r="AE366" s="83"/>
      <c r="AF366" s="84"/>
      <c r="AG366" s="85"/>
      <c r="AH366" s="83"/>
      <c r="AI366" s="84"/>
      <c r="AJ366" s="84"/>
      <c r="AK366" s="85"/>
      <c r="AL366" s="83"/>
      <c r="AM366" s="84"/>
      <c r="AN366" s="85"/>
      <c r="AO366" s="60"/>
      <c r="AP366" s="61"/>
      <c r="AQ366" s="77">
        <f t="shared" si="11"/>
        <v>0</v>
      </c>
      <c r="AR366" s="37"/>
      <c r="AS366" s="78">
        <f t="shared" si="12"/>
        <v>0</v>
      </c>
      <c r="AT366" s="37"/>
      <c r="AU366" s="37"/>
      <c r="AV366" s="37"/>
      <c r="AW366" s="37"/>
      <c r="AX366" s="37"/>
    </row>
    <row r="367" spans="1:50" ht="20.100000000000001" customHeight="1" x14ac:dyDescent="0.25">
      <c r="A367" s="37"/>
      <c r="B367" s="58"/>
      <c r="C367" s="37"/>
      <c r="D367" s="97"/>
      <c r="E367" s="98"/>
      <c r="F367" s="101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3"/>
      <c r="T367" s="83"/>
      <c r="U367" s="85"/>
      <c r="V367" s="83"/>
      <c r="W367" s="85"/>
      <c r="X367" s="97"/>
      <c r="Y367" s="100"/>
      <c r="Z367" s="100"/>
      <c r="AA367" s="100"/>
      <c r="AB367" s="100"/>
      <c r="AC367" s="100"/>
      <c r="AD367" s="98"/>
      <c r="AE367" s="83"/>
      <c r="AF367" s="84"/>
      <c r="AG367" s="85"/>
      <c r="AH367" s="83"/>
      <c r="AI367" s="84"/>
      <c r="AJ367" s="84"/>
      <c r="AK367" s="85"/>
      <c r="AL367" s="83"/>
      <c r="AM367" s="84"/>
      <c r="AN367" s="85"/>
      <c r="AO367" s="60"/>
      <c r="AP367" s="61"/>
      <c r="AQ367" s="77">
        <f t="shared" si="11"/>
        <v>0</v>
      </c>
      <c r="AR367" s="37"/>
      <c r="AS367" s="78">
        <f t="shared" si="12"/>
        <v>0</v>
      </c>
      <c r="AT367" s="37"/>
      <c r="AU367" s="37"/>
      <c r="AV367" s="37"/>
      <c r="AW367" s="37"/>
      <c r="AX367" s="37"/>
    </row>
    <row r="368" spans="1:50" ht="20.100000000000001" customHeight="1" x14ac:dyDescent="0.25">
      <c r="A368" s="37"/>
      <c r="B368" s="58"/>
      <c r="C368" s="37"/>
      <c r="D368" s="97"/>
      <c r="E368" s="98"/>
      <c r="F368" s="101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3"/>
      <c r="T368" s="83"/>
      <c r="U368" s="85"/>
      <c r="V368" s="83"/>
      <c r="W368" s="85"/>
      <c r="X368" s="97"/>
      <c r="Y368" s="100"/>
      <c r="Z368" s="100"/>
      <c r="AA368" s="100"/>
      <c r="AB368" s="100"/>
      <c r="AC368" s="100"/>
      <c r="AD368" s="98"/>
      <c r="AE368" s="83"/>
      <c r="AF368" s="84"/>
      <c r="AG368" s="85"/>
      <c r="AH368" s="83"/>
      <c r="AI368" s="84"/>
      <c r="AJ368" s="84"/>
      <c r="AK368" s="85"/>
      <c r="AL368" s="83"/>
      <c r="AM368" s="84"/>
      <c r="AN368" s="85"/>
      <c r="AO368" s="60"/>
      <c r="AP368" s="61"/>
      <c r="AQ368" s="77">
        <f t="shared" si="11"/>
        <v>0</v>
      </c>
      <c r="AR368" s="37"/>
      <c r="AS368" s="78">
        <f t="shared" si="12"/>
        <v>0</v>
      </c>
      <c r="AT368" s="37"/>
      <c r="AU368" s="37"/>
      <c r="AV368" s="37"/>
      <c r="AW368" s="37"/>
      <c r="AX368" s="37"/>
    </row>
    <row r="369" spans="1:50" ht="20.100000000000001" customHeight="1" x14ac:dyDescent="0.25">
      <c r="A369" s="37"/>
      <c r="B369" s="58"/>
      <c r="C369" s="37"/>
      <c r="D369" s="97"/>
      <c r="E369" s="98"/>
      <c r="F369" s="101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3"/>
      <c r="T369" s="83"/>
      <c r="U369" s="85"/>
      <c r="V369" s="83"/>
      <c r="W369" s="85"/>
      <c r="X369" s="97"/>
      <c r="Y369" s="100"/>
      <c r="Z369" s="100"/>
      <c r="AA369" s="100"/>
      <c r="AB369" s="100"/>
      <c r="AC369" s="100"/>
      <c r="AD369" s="98"/>
      <c r="AE369" s="83"/>
      <c r="AF369" s="84"/>
      <c r="AG369" s="85"/>
      <c r="AH369" s="83"/>
      <c r="AI369" s="84"/>
      <c r="AJ369" s="84"/>
      <c r="AK369" s="85"/>
      <c r="AL369" s="83"/>
      <c r="AM369" s="84"/>
      <c r="AN369" s="85"/>
      <c r="AO369" s="60"/>
      <c r="AP369" s="61"/>
      <c r="AQ369" s="77">
        <f t="shared" si="11"/>
        <v>0</v>
      </c>
      <c r="AR369" s="37"/>
      <c r="AS369" s="78">
        <f t="shared" si="12"/>
        <v>0</v>
      </c>
      <c r="AT369" s="37"/>
      <c r="AU369" s="37"/>
      <c r="AV369" s="37"/>
      <c r="AW369" s="37"/>
      <c r="AX369" s="37"/>
    </row>
    <row r="370" spans="1:50" ht="20.100000000000001" customHeight="1" x14ac:dyDescent="0.25">
      <c r="A370" s="37"/>
      <c r="B370" s="58"/>
      <c r="C370" s="37"/>
      <c r="D370" s="97"/>
      <c r="E370" s="98"/>
      <c r="F370" s="101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3"/>
      <c r="T370" s="83"/>
      <c r="U370" s="85"/>
      <c r="V370" s="83"/>
      <c r="W370" s="85"/>
      <c r="X370" s="97"/>
      <c r="Y370" s="100"/>
      <c r="Z370" s="100"/>
      <c r="AA370" s="100"/>
      <c r="AB370" s="100"/>
      <c r="AC370" s="100"/>
      <c r="AD370" s="98"/>
      <c r="AE370" s="83"/>
      <c r="AF370" s="84"/>
      <c r="AG370" s="85"/>
      <c r="AH370" s="83"/>
      <c r="AI370" s="84"/>
      <c r="AJ370" s="84"/>
      <c r="AK370" s="85"/>
      <c r="AL370" s="83"/>
      <c r="AM370" s="84"/>
      <c r="AN370" s="85"/>
      <c r="AO370" s="60"/>
      <c r="AP370" s="61"/>
      <c r="AQ370" s="77">
        <f t="shared" si="11"/>
        <v>0</v>
      </c>
      <c r="AR370" s="37"/>
      <c r="AS370" s="78">
        <f t="shared" si="12"/>
        <v>0</v>
      </c>
      <c r="AT370" s="37"/>
      <c r="AU370" s="37"/>
      <c r="AV370" s="37"/>
      <c r="AW370" s="37"/>
      <c r="AX370" s="37"/>
    </row>
    <row r="371" spans="1:50" ht="20.100000000000001" customHeight="1" x14ac:dyDescent="0.25">
      <c r="A371" s="37"/>
      <c r="B371" s="58"/>
      <c r="C371" s="37"/>
      <c r="D371" s="97"/>
      <c r="E371" s="98"/>
      <c r="F371" s="101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3"/>
      <c r="T371" s="83"/>
      <c r="U371" s="85"/>
      <c r="V371" s="83"/>
      <c r="W371" s="85"/>
      <c r="X371" s="97"/>
      <c r="Y371" s="100"/>
      <c r="Z371" s="100"/>
      <c r="AA371" s="100"/>
      <c r="AB371" s="100"/>
      <c r="AC371" s="100"/>
      <c r="AD371" s="98"/>
      <c r="AE371" s="83"/>
      <c r="AF371" s="84"/>
      <c r="AG371" s="85"/>
      <c r="AH371" s="83"/>
      <c r="AI371" s="84"/>
      <c r="AJ371" s="84"/>
      <c r="AK371" s="85"/>
      <c r="AL371" s="83"/>
      <c r="AM371" s="84"/>
      <c r="AN371" s="85"/>
      <c r="AO371" s="60"/>
      <c r="AP371" s="61"/>
      <c r="AQ371" s="77">
        <f t="shared" si="11"/>
        <v>0</v>
      </c>
      <c r="AR371" s="37"/>
      <c r="AS371" s="78">
        <f t="shared" si="12"/>
        <v>0</v>
      </c>
      <c r="AT371" s="37"/>
      <c r="AU371" s="37"/>
      <c r="AV371" s="37"/>
      <c r="AW371" s="37"/>
      <c r="AX371" s="37"/>
    </row>
    <row r="372" spans="1:50" ht="20.100000000000001" customHeight="1" x14ac:dyDescent="0.25">
      <c r="A372" s="37"/>
      <c r="B372" s="58"/>
      <c r="C372" s="37"/>
      <c r="D372" s="97"/>
      <c r="E372" s="98"/>
      <c r="F372" s="101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3"/>
      <c r="T372" s="83"/>
      <c r="U372" s="85"/>
      <c r="V372" s="83"/>
      <c r="W372" s="85"/>
      <c r="X372" s="97"/>
      <c r="Y372" s="100"/>
      <c r="Z372" s="100"/>
      <c r="AA372" s="100"/>
      <c r="AB372" s="100"/>
      <c r="AC372" s="100"/>
      <c r="AD372" s="98"/>
      <c r="AE372" s="83"/>
      <c r="AF372" s="84"/>
      <c r="AG372" s="85"/>
      <c r="AH372" s="83"/>
      <c r="AI372" s="84"/>
      <c r="AJ372" s="84"/>
      <c r="AK372" s="85"/>
      <c r="AL372" s="83"/>
      <c r="AM372" s="84"/>
      <c r="AN372" s="85"/>
      <c r="AO372" s="60"/>
      <c r="AP372" s="61"/>
      <c r="AQ372" s="77">
        <f t="shared" si="11"/>
        <v>0</v>
      </c>
      <c r="AR372" s="37"/>
      <c r="AS372" s="78">
        <f t="shared" si="12"/>
        <v>0</v>
      </c>
      <c r="AT372" s="37"/>
      <c r="AU372" s="37"/>
      <c r="AV372" s="37"/>
      <c r="AW372" s="37"/>
      <c r="AX372" s="37"/>
    </row>
    <row r="373" spans="1:50" ht="20.100000000000001" customHeight="1" x14ac:dyDescent="0.25">
      <c r="A373" s="37"/>
      <c r="B373" s="58"/>
      <c r="C373" s="37"/>
      <c r="D373" s="97"/>
      <c r="E373" s="98"/>
      <c r="F373" s="101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3"/>
      <c r="T373" s="83"/>
      <c r="U373" s="85"/>
      <c r="V373" s="83"/>
      <c r="W373" s="85"/>
      <c r="X373" s="97"/>
      <c r="Y373" s="100"/>
      <c r="Z373" s="100"/>
      <c r="AA373" s="100"/>
      <c r="AB373" s="100"/>
      <c r="AC373" s="100"/>
      <c r="AD373" s="98"/>
      <c r="AE373" s="83"/>
      <c r="AF373" s="84"/>
      <c r="AG373" s="85"/>
      <c r="AH373" s="83"/>
      <c r="AI373" s="84"/>
      <c r="AJ373" s="84"/>
      <c r="AK373" s="85"/>
      <c r="AL373" s="83"/>
      <c r="AM373" s="84"/>
      <c r="AN373" s="85"/>
      <c r="AO373" s="60"/>
      <c r="AP373" s="61"/>
      <c r="AQ373" s="77">
        <f t="shared" si="11"/>
        <v>0</v>
      </c>
      <c r="AR373" s="37"/>
      <c r="AS373" s="78">
        <f t="shared" si="12"/>
        <v>0</v>
      </c>
      <c r="AT373" s="37"/>
      <c r="AU373" s="37"/>
      <c r="AV373" s="37"/>
      <c r="AW373" s="37"/>
      <c r="AX373" s="37"/>
    </row>
    <row r="374" spans="1:50" ht="20.100000000000001" customHeight="1" x14ac:dyDescent="0.25">
      <c r="A374" s="37"/>
      <c r="B374" s="58"/>
      <c r="C374" s="37"/>
      <c r="D374" s="97"/>
      <c r="E374" s="98"/>
      <c r="F374" s="101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3"/>
      <c r="T374" s="83"/>
      <c r="U374" s="85"/>
      <c r="V374" s="83"/>
      <c r="W374" s="85"/>
      <c r="X374" s="97"/>
      <c r="Y374" s="100"/>
      <c r="Z374" s="100"/>
      <c r="AA374" s="100"/>
      <c r="AB374" s="100"/>
      <c r="AC374" s="100"/>
      <c r="AD374" s="98"/>
      <c r="AE374" s="83"/>
      <c r="AF374" s="84"/>
      <c r="AG374" s="85"/>
      <c r="AH374" s="83"/>
      <c r="AI374" s="84"/>
      <c r="AJ374" s="84"/>
      <c r="AK374" s="85"/>
      <c r="AL374" s="83"/>
      <c r="AM374" s="84"/>
      <c r="AN374" s="85"/>
      <c r="AO374" s="60"/>
      <c r="AP374" s="61"/>
      <c r="AQ374" s="77">
        <f t="shared" si="11"/>
        <v>0</v>
      </c>
      <c r="AR374" s="37"/>
      <c r="AS374" s="78">
        <f t="shared" si="12"/>
        <v>0</v>
      </c>
      <c r="AT374" s="37"/>
      <c r="AU374" s="37"/>
      <c r="AV374" s="37"/>
      <c r="AW374" s="37"/>
      <c r="AX374" s="37"/>
    </row>
    <row r="375" spans="1:50" ht="20.100000000000001" customHeight="1" x14ac:dyDescent="0.25">
      <c r="A375" s="37"/>
      <c r="B375" s="58"/>
      <c r="C375" s="37"/>
      <c r="D375" s="97"/>
      <c r="E375" s="98"/>
      <c r="F375" s="101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3"/>
      <c r="T375" s="83"/>
      <c r="U375" s="85"/>
      <c r="V375" s="83"/>
      <c r="W375" s="85"/>
      <c r="X375" s="97"/>
      <c r="Y375" s="100"/>
      <c r="Z375" s="100"/>
      <c r="AA375" s="100"/>
      <c r="AB375" s="100"/>
      <c r="AC375" s="100"/>
      <c r="AD375" s="98"/>
      <c r="AE375" s="83"/>
      <c r="AF375" s="84"/>
      <c r="AG375" s="85"/>
      <c r="AH375" s="83"/>
      <c r="AI375" s="84"/>
      <c r="AJ375" s="84"/>
      <c r="AK375" s="85"/>
      <c r="AL375" s="83"/>
      <c r="AM375" s="84"/>
      <c r="AN375" s="85"/>
      <c r="AO375" s="60"/>
      <c r="AP375" s="61"/>
      <c r="AQ375" s="77">
        <f t="shared" si="11"/>
        <v>0</v>
      </c>
      <c r="AR375" s="37"/>
      <c r="AS375" s="78">
        <f t="shared" si="12"/>
        <v>0</v>
      </c>
      <c r="AT375" s="37"/>
      <c r="AU375" s="37"/>
      <c r="AV375" s="37"/>
      <c r="AW375" s="37"/>
      <c r="AX375" s="37"/>
    </row>
    <row r="376" spans="1:50" ht="20.100000000000001" customHeight="1" x14ac:dyDescent="0.25">
      <c r="A376" s="37"/>
      <c r="B376" s="58"/>
      <c r="C376" s="37"/>
      <c r="D376" s="97"/>
      <c r="E376" s="98"/>
      <c r="F376" s="101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3"/>
      <c r="T376" s="83"/>
      <c r="U376" s="85"/>
      <c r="V376" s="83"/>
      <c r="W376" s="85"/>
      <c r="X376" s="97"/>
      <c r="Y376" s="100"/>
      <c r="Z376" s="100"/>
      <c r="AA376" s="100"/>
      <c r="AB376" s="100"/>
      <c r="AC376" s="100"/>
      <c r="AD376" s="98"/>
      <c r="AE376" s="83"/>
      <c r="AF376" s="84"/>
      <c r="AG376" s="85"/>
      <c r="AH376" s="83"/>
      <c r="AI376" s="84"/>
      <c r="AJ376" s="84"/>
      <c r="AK376" s="85"/>
      <c r="AL376" s="83"/>
      <c r="AM376" s="84"/>
      <c r="AN376" s="85"/>
      <c r="AO376" s="60"/>
      <c r="AP376" s="61"/>
      <c r="AQ376" s="77">
        <f t="shared" si="11"/>
        <v>0</v>
      </c>
      <c r="AR376" s="37"/>
      <c r="AS376" s="78">
        <f t="shared" si="12"/>
        <v>0</v>
      </c>
      <c r="AT376" s="37"/>
      <c r="AU376" s="37"/>
      <c r="AV376" s="37"/>
      <c r="AW376" s="37"/>
      <c r="AX376" s="37"/>
    </row>
    <row r="377" spans="1:50" ht="20.100000000000001" customHeight="1" x14ac:dyDescent="0.25">
      <c r="A377" s="37"/>
      <c r="B377" s="58"/>
      <c r="C377" s="37"/>
      <c r="D377" s="97"/>
      <c r="E377" s="98"/>
      <c r="F377" s="101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3"/>
      <c r="T377" s="83"/>
      <c r="U377" s="85"/>
      <c r="V377" s="83"/>
      <c r="W377" s="85"/>
      <c r="X377" s="97"/>
      <c r="Y377" s="100"/>
      <c r="Z377" s="100"/>
      <c r="AA377" s="100"/>
      <c r="AB377" s="100"/>
      <c r="AC377" s="100"/>
      <c r="AD377" s="98"/>
      <c r="AE377" s="83"/>
      <c r="AF377" s="84"/>
      <c r="AG377" s="85"/>
      <c r="AH377" s="83"/>
      <c r="AI377" s="84"/>
      <c r="AJ377" s="84"/>
      <c r="AK377" s="85"/>
      <c r="AL377" s="83"/>
      <c r="AM377" s="84"/>
      <c r="AN377" s="85"/>
      <c r="AO377" s="60"/>
      <c r="AP377" s="61"/>
      <c r="AQ377" s="77">
        <f t="shared" si="11"/>
        <v>0</v>
      </c>
      <c r="AR377" s="37"/>
      <c r="AS377" s="78">
        <f t="shared" si="12"/>
        <v>0</v>
      </c>
      <c r="AT377" s="37"/>
      <c r="AU377" s="37"/>
      <c r="AV377" s="37"/>
      <c r="AW377" s="37"/>
      <c r="AX377" s="37"/>
    </row>
    <row r="378" spans="1:50" ht="20.100000000000001" customHeight="1" x14ac:dyDescent="0.25">
      <c r="A378" s="37"/>
      <c r="B378" s="58"/>
      <c r="C378" s="37"/>
      <c r="D378" s="97"/>
      <c r="E378" s="98"/>
      <c r="F378" s="101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3"/>
      <c r="T378" s="83"/>
      <c r="U378" s="85"/>
      <c r="V378" s="83"/>
      <c r="W378" s="85"/>
      <c r="X378" s="97"/>
      <c r="Y378" s="100"/>
      <c r="Z378" s="100"/>
      <c r="AA378" s="100"/>
      <c r="AB378" s="100"/>
      <c r="AC378" s="100"/>
      <c r="AD378" s="98"/>
      <c r="AE378" s="83"/>
      <c r="AF378" s="84"/>
      <c r="AG378" s="85"/>
      <c r="AH378" s="83"/>
      <c r="AI378" s="84"/>
      <c r="AJ378" s="84"/>
      <c r="AK378" s="85"/>
      <c r="AL378" s="83"/>
      <c r="AM378" s="84"/>
      <c r="AN378" s="85"/>
      <c r="AO378" s="60"/>
      <c r="AP378" s="61"/>
      <c r="AQ378" s="77">
        <f t="shared" si="11"/>
        <v>0</v>
      </c>
      <c r="AR378" s="37"/>
      <c r="AS378" s="78">
        <f t="shared" si="12"/>
        <v>0</v>
      </c>
      <c r="AT378" s="37"/>
      <c r="AU378" s="37"/>
      <c r="AV378" s="37"/>
      <c r="AW378" s="37"/>
      <c r="AX378" s="37"/>
    </row>
    <row r="379" spans="1:50" ht="20.100000000000001" customHeight="1" x14ac:dyDescent="0.25">
      <c r="A379" s="37"/>
      <c r="B379" s="58"/>
      <c r="C379" s="37"/>
      <c r="D379" s="97"/>
      <c r="E379" s="98"/>
      <c r="F379" s="101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3"/>
      <c r="T379" s="83"/>
      <c r="U379" s="85"/>
      <c r="V379" s="83"/>
      <c r="W379" s="85"/>
      <c r="X379" s="97"/>
      <c r="Y379" s="100"/>
      <c r="Z379" s="100"/>
      <c r="AA379" s="100"/>
      <c r="AB379" s="100"/>
      <c r="AC379" s="100"/>
      <c r="AD379" s="98"/>
      <c r="AE379" s="83"/>
      <c r="AF379" s="84"/>
      <c r="AG379" s="85"/>
      <c r="AH379" s="83"/>
      <c r="AI379" s="84"/>
      <c r="AJ379" s="84"/>
      <c r="AK379" s="85"/>
      <c r="AL379" s="83"/>
      <c r="AM379" s="84"/>
      <c r="AN379" s="85"/>
      <c r="AO379" s="60"/>
      <c r="AP379" s="61"/>
      <c r="AQ379" s="77">
        <f t="shared" si="11"/>
        <v>0</v>
      </c>
      <c r="AR379" s="37"/>
      <c r="AS379" s="78">
        <f t="shared" si="12"/>
        <v>0</v>
      </c>
      <c r="AT379" s="37"/>
      <c r="AU379" s="37"/>
      <c r="AV379" s="37"/>
      <c r="AW379" s="37"/>
      <c r="AX379" s="37"/>
    </row>
    <row r="380" spans="1:50" ht="20.100000000000001" customHeight="1" x14ac:dyDescent="0.25">
      <c r="A380" s="37"/>
      <c r="B380" s="58"/>
      <c r="C380" s="37"/>
      <c r="D380" s="97"/>
      <c r="E380" s="98"/>
      <c r="F380" s="101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3"/>
      <c r="T380" s="83"/>
      <c r="U380" s="85"/>
      <c r="V380" s="83"/>
      <c r="W380" s="85"/>
      <c r="X380" s="97"/>
      <c r="Y380" s="100"/>
      <c r="Z380" s="100"/>
      <c r="AA380" s="100"/>
      <c r="AB380" s="100"/>
      <c r="AC380" s="100"/>
      <c r="AD380" s="98"/>
      <c r="AE380" s="83"/>
      <c r="AF380" s="84"/>
      <c r="AG380" s="85"/>
      <c r="AH380" s="83"/>
      <c r="AI380" s="84"/>
      <c r="AJ380" s="84"/>
      <c r="AK380" s="85"/>
      <c r="AL380" s="83"/>
      <c r="AM380" s="84"/>
      <c r="AN380" s="85"/>
      <c r="AO380" s="60"/>
      <c r="AP380" s="61"/>
      <c r="AQ380" s="77">
        <f t="shared" si="11"/>
        <v>0</v>
      </c>
      <c r="AR380" s="37"/>
      <c r="AS380" s="78">
        <f t="shared" si="12"/>
        <v>0</v>
      </c>
      <c r="AT380" s="37"/>
      <c r="AU380" s="37"/>
      <c r="AV380" s="37"/>
      <c r="AW380" s="37"/>
      <c r="AX380" s="37"/>
    </row>
    <row r="381" spans="1:50" ht="20.100000000000001" customHeight="1" x14ac:dyDescent="0.25">
      <c r="A381" s="37"/>
      <c r="B381" s="58"/>
      <c r="C381" s="37"/>
      <c r="D381" s="97"/>
      <c r="E381" s="98"/>
      <c r="F381" s="101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3"/>
      <c r="T381" s="83"/>
      <c r="U381" s="85"/>
      <c r="V381" s="83"/>
      <c r="W381" s="85"/>
      <c r="X381" s="97"/>
      <c r="Y381" s="100"/>
      <c r="Z381" s="100"/>
      <c r="AA381" s="100"/>
      <c r="AB381" s="100"/>
      <c r="AC381" s="100"/>
      <c r="AD381" s="98"/>
      <c r="AE381" s="83"/>
      <c r="AF381" s="84"/>
      <c r="AG381" s="85"/>
      <c r="AH381" s="83"/>
      <c r="AI381" s="84"/>
      <c r="AJ381" s="84"/>
      <c r="AK381" s="85"/>
      <c r="AL381" s="83"/>
      <c r="AM381" s="84"/>
      <c r="AN381" s="85"/>
      <c r="AO381" s="60"/>
      <c r="AP381" s="61"/>
      <c r="AQ381" s="77">
        <f t="shared" si="11"/>
        <v>0</v>
      </c>
      <c r="AR381" s="37"/>
      <c r="AS381" s="78">
        <f t="shared" si="12"/>
        <v>0</v>
      </c>
      <c r="AT381" s="37"/>
      <c r="AU381" s="37"/>
      <c r="AV381" s="37"/>
      <c r="AW381" s="37"/>
      <c r="AX381" s="37"/>
    </row>
    <row r="382" spans="1:50" ht="20.100000000000001" customHeight="1" x14ac:dyDescent="0.25">
      <c r="A382" s="37"/>
      <c r="B382" s="58"/>
      <c r="C382" s="37"/>
      <c r="D382" s="97"/>
      <c r="E382" s="98"/>
      <c r="F382" s="101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3"/>
      <c r="T382" s="83"/>
      <c r="U382" s="85"/>
      <c r="V382" s="83"/>
      <c r="W382" s="85"/>
      <c r="X382" s="97"/>
      <c r="Y382" s="100"/>
      <c r="Z382" s="100"/>
      <c r="AA382" s="100"/>
      <c r="AB382" s="100"/>
      <c r="AC382" s="100"/>
      <c r="AD382" s="98"/>
      <c r="AE382" s="83"/>
      <c r="AF382" s="84"/>
      <c r="AG382" s="85"/>
      <c r="AH382" s="83"/>
      <c r="AI382" s="84"/>
      <c r="AJ382" s="84"/>
      <c r="AK382" s="85"/>
      <c r="AL382" s="83"/>
      <c r="AM382" s="84"/>
      <c r="AN382" s="85"/>
      <c r="AO382" s="60"/>
      <c r="AP382" s="61"/>
      <c r="AQ382" s="77">
        <f t="shared" si="11"/>
        <v>0</v>
      </c>
      <c r="AR382" s="37"/>
      <c r="AS382" s="78">
        <f t="shared" si="12"/>
        <v>0</v>
      </c>
      <c r="AT382" s="37"/>
      <c r="AU382" s="37"/>
      <c r="AV382" s="37"/>
      <c r="AW382" s="37"/>
      <c r="AX382" s="37"/>
    </row>
    <row r="383" spans="1:50" ht="20.100000000000001" customHeight="1" x14ac:dyDescent="0.25">
      <c r="A383" s="37"/>
      <c r="B383" s="58"/>
      <c r="C383" s="37"/>
      <c r="D383" s="97"/>
      <c r="E383" s="98"/>
      <c r="F383" s="101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3"/>
      <c r="T383" s="83"/>
      <c r="U383" s="85"/>
      <c r="V383" s="83"/>
      <c r="W383" s="85"/>
      <c r="X383" s="97"/>
      <c r="Y383" s="100"/>
      <c r="Z383" s="100"/>
      <c r="AA383" s="100"/>
      <c r="AB383" s="100"/>
      <c r="AC383" s="100"/>
      <c r="AD383" s="98"/>
      <c r="AE383" s="83"/>
      <c r="AF383" s="84"/>
      <c r="AG383" s="85"/>
      <c r="AH383" s="83"/>
      <c r="AI383" s="84"/>
      <c r="AJ383" s="84"/>
      <c r="AK383" s="85"/>
      <c r="AL383" s="83"/>
      <c r="AM383" s="84"/>
      <c r="AN383" s="85"/>
      <c r="AO383" s="60"/>
      <c r="AP383" s="61"/>
      <c r="AQ383" s="77">
        <f t="shared" si="11"/>
        <v>0</v>
      </c>
      <c r="AR383" s="37"/>
      <c r="AS383" s="78">
        <f t="shared" si="12"/>
        <v>0</v>
      </c>
      <c r="AT383" s="37"/>
      <c r="AU383" s="37"/>
      <c r="AV383" s="37"/>
      <c r="AW383" s="37"/>
      <c r="AX383" s="37"/>
    </row>
    <row r="384" spans="1:50" ht="20.100000000000001" customHeight="1" x14ac:dyDescent="0.25">
      <c r="A384" s="37"/>
      <c r="B384" s="58"/>
      <c r="C384" s="37"/>
      <c r="D384" s="97"/>
      <c r="E384" s="98"/>
      <c r="F384" s="101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3"/>
      <c r="T384" s="83"/>
      <c r="U384" s="85"/>
      <c r="V384" s="83"/>
      <c r="W384" s="85"/>
      <c r="X384" s="97"/>
      <c r="Y384" s="100"/>
      <c r="Z384" s="100"/>
      <c r="AA384" s="100"/>
      <c r="AB384" s="100"/>
      <c r="AC384" s="100"/>
      <c r="AD384" s="98"/>
      <c r="AE384" s="83"/>
      <c r="AF384" s="84"/>
      <c r="AG384" s="85"/>
      <c r="AH384" s="83"/>
      <c r="AI384" s="84"/>
      <c r="AJ384" s="84"/>
      <c r="AK384" s="85"/>
      <c r="AL384" s="83"/>
      <c r="AM384" s="84"/>
      <c r="AN384" s="85"/>
      <c r="AO384" s="60"/>
      <c r="AP384" s="61"/>
      <c r="AQ384" s="77">
        <f t="shared" si="11"/>
        <v>0</v>
      </c>
      <c r="AR384" s="37"/>
      <c r="AS384" s="78">
        <f t="shared" si="12"/>
        <v>0</v>
      </c>
      <c r="AT384" s="37"/>
      <c r="AU384" s="37"/>
      <c r="AV384" s="37"/>
      <c r="AW384" s="37"/>
      <c r="AX384" s="37"/>
    </row>
    <row r="385" spans="1:50" ht="20.100000000000001" customHeight="1" x14ac:dyDescent="0.25">
      <c r="A385" s="37"/>
      <c r="B385" s="58"/>
      <c r="C385" s="37"/>
      <c r="D385" s="97"/>
      <c r="E385" s="98"/>
      <c r="F385" s="101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3"/>
      <c r="T385" s="83"/>
      <c r="U385" s="85"/>
      <c r="V385" s="83"/>
      <c r="W385" s="85"/>
      <c r="X385" s="97"/>
      <c r="Y385" s="100"/>
      <c r="Z385" s="100"/>
      <c r="AA385" s="100"/>
      <c r="AB385" s="100"/>
      <c r="AC385" s="100"/>
      <c r="AD385" s="98"/>
      <c r="AE385" s="83"/>
      <c r="AF385" s="84"/>
      <c r="AG385" s="85"/>
      <c r="AH385" s="83"/>
      <c r="AI385" s="84"/>
      <c r="AJ385" s="84"/>
      <c r="AK385" s="85"/>
      <c r="AL385" s="83"/>
      <c r="AM385" s="84"/>
      <c r="AN385" s="85"/>
      <c r="AO385" s="60"/>
      <c r="AP385" s="61"/>
      <c r="AQ385" s="77">
        <f t="shared" si="11"/>
        <v>0</v>
      </c>
      <c r="AR385" s="37"/>
      <c r="AS385" s="78">
        <f t="shared" si="12"/>
        <v>0</v>
      </c>
      <c r="AT385" s="37"/>
      <c r="AU385" s="37"/>
      <c r="AV385" s="37"/>
      <c r="AW385" s="37"/>
      <c r="AX385" s="37"/>
    </row>
    <row r="386" spans="1:50" ht="20.100000000000001" customHeight="1" x14ac:dyDescent="0.25">
      <c r="A386" s="37"/>
      <c r="B386" s="58"/>
      <c r="C386" s="37"/>
      <c r="D386" s="97"/>
      <c r="E386" s="98"/>
      <c r="F386" s="101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3"/>
      <c r="T386" s="83"/>
      <c r="U386" s="85"/>
      <c r="V386" s="83"/>
      <c r="W386" s="85"/>
      <c r="X386" s="97"/>
      <c r="Y386" s="100"/>
      <c r="Z386" s="100"/>
      <c r="AA386" s="100"/>
      <c r="AB386" s="100"/>
      <c r="AC386" s="100"/>
      <c r="AD386" s="98"/>
      <c r="AE386" s="83"/>
      <c r="AF386" s="84"/>
      <c r="AG386" s="85"/>
      <c r="AH386" s="83"/>
      <c r="AI386" s="84"/>
      <c r="AJ386" s="84"/>
      <c r="AK386" s="85"/>
      <c r="AL386" s="83"/>
      <c r="AM386" s="84"/>
      <c r="AN386" s="85"/>
      <c r="AO386" s="60"/>
      <c r="AP386" s="61"/>
      <c r="AQ386" s="77">
        <f t="shared" si="11"/>
        <v>0</v>
      </c>
      <c r="AR386" s="37"/>
      <c r="AS386" s="78">
        <f t="shared" si="12"/>
        <v>0</v>
      </c>
      <c r="AT386" s="37"/>
      <c r="AU386" s="37"/>
      <c r="AV386" s="37"/>
      <c r="AW386" s="37"/>
      <c r="AX386" s="37"/>
    </row>
    <row r="387" spans="1:50" ht="20.100000000000001" customHeight="1" x14ac:dyDescent="0.25">
      <c r="A387" s="37"/>
      <c r="B387" s="58"/>
      <c r="C387" s="37"/>
      <c r="D387" s="97"/>
      <c r="E387" s="98"/>
      <c r="F387" s="101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3"/>
      <c r="T387" s="83"/>
      <c r="U387" s="85"/>
      <c r="V387" s="83"/>
      <c r="W387" s="85"/>
      <c r="X387" s="97"/>
      <c r="Y387" s="100"/>
      <c r="Z387" s="100"/>
      <c r="AA387" s="100"/>
      <c r="AB387" s="100"/>
      <c r="AC387" s="100"/>
      <c r="AD387" s="98"/>
      <c r="AE387" s="83"/>
      <c r="AF387" s="84"/>
      <c r="AG387" s="85"/>
      <c r="AH387" s="83"/>
      <c r="AI387" s="84"/>
      <c r="AJ387" s="84"/>
      <c r="AK387" s="85"/>
      <c r="AL387" s="83"/>
      <c r="AM387" s="84"/>
      <c r="AN387" s="85"/>
      <c r="AO387" s="60"/>
      <c r="AP387" s="61"/>
      <c r="AQ387" s="77">
        <f t="shared" si="11"/>
        <v>0</v>
      </c>
      <c r="AR387" s="37"/>
      <c r="AS387" s="78">
        <f t="shared" si="12"/>
        <v>0</v>
      </c>
      <c r="AT387" s="37"/>
      <c r="AU387" s="37"/>
      <c r="AV387" s="37"/>
      <c r="AW387" s="37"/>
      <c r="AX387" s="37"/>
    </row>
    <row r="388" spans="1:50" ht="20.100000000000001" customHeight="1" x14ac:dyDescent="0.25">
      <c r="A388" s="37"/>
      <c r="B388" s="58"/>
      <c r="C388" s="37"/>
      <c r="D388" s="97"/>
      <c r="E388" s="98"/>
      <c r="F388" s="101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3"/>
      <c r="T388" s="83"/>
      <c r="U388" s="85"/>
      <c r="V388" s="83"/>
      <c r="W388" s="85"/>
      <c r="X388" s="97"/>
      <c r="Y388" s="100"/>
      <c r="Z388" s="100"/>
      <c r="AA388" s="100"/>
      <c r="AB388" s="100"/>
      <c r="AC388" s="100"/>
      <c r="AD388" s="98"/>
      <c r="AE388" s="83"/>
      <c r="AF388" s="84"/>
      <c r="AG388" s="85"/>
      <c r="AH388" s="83"/>
      <c r="AI388" s="84"/>
      <c r="AJ388" s="84"/>
      <c r="AK388" s="85"/>
      <c r="AL388" s="83"/>
      <c r="AM388" s="84"/>
      <c r="AN388" s="85"/>
      <c r="AO388" s="60"/>
      <c r="AP388" s="61"/>
      <c r="AQ388" s="77">
        <f t="shared" si="11"/>
        <v>0</v>
      </c>
      <c r="AR388" s="37"/>
      <c r="AS388" s="78">
        <f t="shared" si="12"/>
        <v>0</v>
      </c>
      <c r="AT388" s="37"/>
      <c r="AU388" s="37"/>
      <c r="AV388" s="37"/>
      <c r="AW388" s="37"/>
      <c r="AX388" s="37"/>
    </row>
    <row r="389" spans="1:50" ht="20.100000000000001" customHeight="1" x14ac:dyDescent="0.25">
      <c r="A389" s="37"/>
      <c r="B389" s="58"/>
      <c r="C389" s="37"/>
      <c r="D389" s="97"/>
      <c r="E389" s="98"/>
      <c r="F389" s="101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3"/>
      <c r="T389" s="83"/>
      <c r="U389" s="85"/>
      <c r="V389" s="83"/>
      <c r="W389" s="85"/>
      <c r="X389" s="97"/>
      <c r="Y389" s="100"/>
      <c r="Z389" s="100"/>
      <c r="AA389" s="100"/>
      <c r="AB389" s="100"/>
      <c r="AC389" s="100"/>
      <c r="AD389" s="98"/>
      <c r="AE389" s="83"/>
      <c r="AF389" s="84"/>
      <c r="AG389" s="85"/>
      <c r="AH389" s="83"/>
      <c r="AI389" s="84"/>
      <c r="AJ389" s="84"/>
      <c r="AK389" s="85"/>
      <c r="AL389" s="83"/>
      <c r="AM389" s="84"/>
      <c r="AN389" s="85"/>
      <c r="AO389" s="60"/>
      <c r="AP389" s="61"/>
      <c r="AQ389" s="77">
        <f t="shared" si="11"/>
        <v>0</v>
      </c>
      <c r="AR389" s="37"/>
      <c r="AS389" s="78">
        <f t="shared" si="12"/>
        <v>0</v>
      </c>
      <c r="AT389" s="37"/>
      <c r="AU389" s="37"/>
      <c r="AV389" s="37"/>
      <c r="AW389" s="37"/>
      <c r="AX389" s="37"/>
    </row>
    <row r="390" spans="1:50" ht="20.100000000000001" customHeight="1" x14ac:dyDescent="0.25">
      <c r="A390" s="37"/>
      <c r="B390" s="58"/>
      <c r="C390" s="37"/>
      <c r="D390" s="97"/>
      <c r="E390" s="98"/>
      <c r="F390" s="101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3"/>
      <c r="T390" s="83"/>
      <c r="U390" s="85"/>
      <c r="V390" s="83"/>
      <c r="W390" s="85"/>
      <c r="X390" s="97"/>
      <c r="Y390" s="100"/>
      <c r="Z390" s="100"/>
      <c r="AA390" s="100"/>
      <c r="AB390" s="100"/>
      <c r="AC390" s="100"/>
      <c r="AD390" s="98"/>
      <c r="AE390" s="83"/>
      <c r="AF390" s="84"/>
      <c r="AG390" s="85"/>
      <c r="AH390" s="83"/>
      <c r="AI390" s="84"/>
      <c r="AJ390" s="84"/>
      <c r="AK390" s="85"/>
      <c r="AL390" s="83"/>
      <c r="AM390" s="84"/>
      <c r="AN390" s="85"/>
      <c r="AO390" s="60"/>
      <c r="AP390" s="61"/>
      <c r="AQ390" s="77">
        <f t="shared" ref="AQ390:AQ453" si="13">AP390-B390</f>
        <v>0</v>
      </c>
      <c r="AR390" s="37"/>
      <c r="AS390" s="78">
        <f t="shared" si="12"/>
        <v>0</v>
      </c>
      <c r="AT390" s="37"/>
      <c r="AU390" s="37"/>
      <c r="AV390" s="37"/>
      <c r="AW390" s="37"/>
      <c r="AX390" s="37"/>
    </row>
    <row r="391" spans="1:50" ht="20.100000000000001" customHeight="1" x14ac:dyDescent="0.25">
      <c r="A391" s="37"/>
      <c r="B391" s="58"/>
      <c r="C391" s="37"/>
      <c r="D391" s="97"/>
      <c r="E391" s="98"/>
      <c r="F391" s="101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3"/>
      <c r="T391" s="83"/>
      <c r="U391" s="85"/>
      <c r="V391" s="83"/>
      <c r="W391" s="85"/>
      <c r="X391" s="97"/>
      <c r="Y391" s="100"/>
      <c r="Z391" s="100"/>
      <c r="AA391" s="100"/>
      <c r="AB391" s="100"/>
      <c r="AC391" s="100"/>
      <c r="AD391" s="98"/>
      <c r="AE391" s="83"/>
      <c r="AF391" s="84"/>
      <c r="AG391" s="85"/>
      <c r="AH391" s="83"/>
      <c r="AI391" s="84"/>
      <c r="AJ391" s="84"/>
      <c r="AK391" s="85"/>
      <c r="AL391" s="83"/>
      <c r="AM391" s="84"/>
      <c r="AN391" s="85"/>
      <c r="AO391" s="60"/>
      <c r="AP391" s="61"/>
      <c r="AQ391" s="77">
        <f t="shared" si="13"/>
        <v>0</v>
      </c>
      <c r="AR391" s="37"/>
      <c r="AS391" s="78">
        <f t="shared" ref="AS391:AS454" si="14">AP391-AR391</f>
        <v>0</v>
      </c>
      <c r="AT391" s="37"/>
      <c r="AU391" s="37"/>
      <c r="AV391" s="37"/>
      <c r="AW391" s="37"/>
      <c r="AX391" s="37"/>
    </row>
    <row r="392" spans="1:50" ht="20.100000000000001" customHeight="1" x14ac:dyDescent="0.25">
      <c r="A392" s="37"/>
      <c r="B392" s="58"/>
      <c r="C392" s="37"/>
      <c r="D392" s="97"/>
      <c r="E392" s="98"/>
      <c r="F392" s="101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3"/>
      <c r="T392" s="83"/>
      <c r="U392" s="85"/>
      <c r="V392" s="83"/>
      <c r="W392" s="85"/>
      <c r="X392" s="97"/>
      <c r="Y392" s="100"/>
      <c r="Z392" s="100"/>
      <c r="AA392" s="100"/>
      <c r="AB392" s="100"/>
      <c r="AC392" s="100"/>
      <c r="AD392" s="98"/>
      <c r="AE392" s="83"/>
      <c r="AF392" s="84"/>
      <c r="AG392" s="85"/>
      <c r="AH392" s="83"/>
      <c r="AI392" s="84"/>
      <c r="AJ392" s="84"/>
      <c r="AK392" s="85"/>
      <c r="AL392" s="83"/>
      <c r="AM392" s="84"/>
      <c r="AN392" s="85"/>
      <c r="AO392" s="60"/>
      <c r="AP392" s="61"/>
      <c r="AQ392" s="77">
        <f t="shared" si="13"/>
        <v>0</v>
      </c>
      <c r="AR392" s="37"/>
      <c r="AS392" s="78">
        <f t="shared" si="14"/>
        <v>0</v>
      </c>
      <c r="AT392" s="37"/>
      <c r="AU392" s="37"/>
      <c r="AV392" s="37"/>
      <c r="AW392" s="37"/>
      <c r="AX392" s="37"/>
    </row>
    <row r="393" spans="1:50" ht="20.100000000000001" customHeight="1" x14ac:dyDescent="0.25">
      <c r="A393" s="37"/>
      <c r="B393" s="58"/>
      <c r="C393" s="37"/>
      <c r="D393" s="97"/>
      <c r="E393" s="98"/>
      <c r="F393" s="101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3"/>
      <c r="T393" s="83"/>
      <c r="U393" s="85"/>
      <c r="V393" s="83"/>
      <c r="W393" s="85"/>
      <c r="X393" s="97"/>
      <c r="Y393" s="100"/>
      <c r="Z393" s="100"/>
      <c r="AA393" s="100"/>
      <c r="AB393" s="100"/>
      <c r="AC393" s="100"/>
      <c r="AD393" s="98"/>
      <c r="AE393" s="83"/>
      <c r="AF393" s="84"/>
      <c r="AG393" s="85"/>
      <c r="AH393" s="83"/>
      <c r="AI393" s="84"/>
      <c r="AJ393" s="84"/>
      <c r="AK393" s="85"/>
      <c r="AL393" s="83"/>
      <c r="AM393" s="84"/>
      <c r="AN393" s="85"/>
      <c r="AO393" s="60"/>
      <c r="AP393" s="61"/>
      <c r="AQ393" s="77">
        <f t="shared" si="13"/>
        <v>0</v>
      </c>
      <c r="AR393" s="37"/>
      <c r="AS393" s="78">
        <f t="shared" si="14"/>
        <v>0</v>
      </c>
      <c r="AT393" s="37"/>
      <c r="AU393" s="37"/>
      <c r="AV393" s="37"/>
      <c r="AW393" s="37"/>
      <c r="AX393" s="37"/>
    </row>
    <row r="394" spans="1:50" ht="20.100000000000001" customHeight="1" x14ac:dyDescent="0.25">
      <c r="A394" s="37"/>
      <c r="B394" s="58"/>
      <c r="C394" s="37"/>
      <c r="D394" s="97"/>
      <c r="E394" s="98"/>
      <c r="F394" s="101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3"/>
      <c r="T394" s="83"/>
      <c r="U394" s="85"/>
      <c r="V394" s="83"/>
      <c r="W394" s="85"/>
      <c r="X394" s="97"/>
      <c r="Y394" s="100"/>
      <c r="Z394" s="100"/>
      <c r="AA394" s="100"/>
      <c r="AB394" s="100"/>
      <c r="AC394" s="100"/>
      <c r="AD394" s="98"/>
      <c r="AE394" s="83"/>
      <c r="AF394" s="84"/>
      <c r="AG394" s="85"/>
      <c r="AH394" s="83"/>
      <c r="AI394" s="84"/>
      <c r="AJ394" s="84"/>
      <c r="AK394" s="85"/>
      <c r="AL394" s="83"/>
      <c r="AM394" s="84"/>
      <c r="AN394" s="85"/>
      <c r="AO394" s="60"/>
      <c r="AP394" s="61"/>
      <c r="AQ394" s="77">
        <f t="shared" si="13"/>
        <v>0</v>
      </c>
      <c r="AR394" s="37"/>
      <c r="AS394" s="78">
        <f t="shared" si="14"/>
        <v>0</v>
      </c>
      <c r="AT394" s="37"/>
      <c r="AU394" s="37"/>
      <c r="AV394" s="37"/>
      <c r="AW394" s="37"/>
      <c r="AX394" s="37"/>
    </row>
    <row r="395" spans="1:50" ht="20.100000000000001" customHeight="1" x14ac:dyDescent="0.25">
      <c r="A395" s="37"/>
      <c r="B395" s="58"/>
      <c r="C395" s="37"/>
      <c r="D395" s="97"/>
      <c r="E395" s="98"/>
      <c r="F395" s="101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3"/>
      <c r="T395" s="83"/>
      <c r="U395" s="85"/>
      <c r="V395" s="83"/>
      <c r="W395" s="85"/>
      <c r="X395" s="97"/>
      <c r="Y395" s="100"/>
      <c r="Z395" s="100"/>
      <c r="AA395" s="100"/>
      <c r="AB395" s="100"/>
      <c r="AC395" s="100"/>
      <c r="AD395" s="98"/>
      <c r="AE395" s="83"/>
      <c r="AF395" s="84"/>
      <c r="AG395" s="85"/>
      <c r="AH395" s="83"/>
      <c r="AI395" s="84"/>
      <c r="AJ395" s="84"/>
      <c r="AK395" s="85"/>
      <c r="AL395" s="83"/>
      <c r="AM395" s="84"/>
      <c r="AN395" s="85"/>
      <c r="AO395" s="60"/>
      <c r="AP395" s="61"/>
      <c r="AQ395" s="77">
        <f t="shared" si="13"/>
        <v>0</v>
      </c>
      <c r="AR395" s="37"/>
      <c r="AS395" s="78">
        <f t="shared" si="14"/>
        <v>0</v>
      </c>
      <c r="AT395" s="37"/>
      <c r="AU395" s="37"/>
      <c r="AV395" s="37"/>
      <c r="AW395" s="37"/>
      <c r="AX395" s="37"/>
    </row>
    <row r="396" spans="1:50" ht="20.100000000000001" customHeight="1" x14ac:dyDescent="0.25">
      <c r="A396" s="37"/>
      <c r="B396" s="58"/>
      <c r="C396" s="37"/>
      <c r="D396" s="97"/>
      <c r="E396" s="98"/>
      <c r="F396" s="101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3"/>
      <c r="T396" s="83"/>
      <c r="U396" s="85"/>
      <c r="V396" s="83"/>
      <c r="W396" s="85"/>
      <c r="X396" s="97"/>
      <c r="Y396" s="100"/>
      <c r="Z396" s="100"/>
      <c r="AA396" s="100"/>
      <c r="AB396" s="100"/>
      <c r="AC396" s="100"/>
      <c r="AD396" s="98"/>
      <c r="AE396" s="83"/>
      <c r="AF396" s="84"/>
      <c r="AG396" s="85"/>
      <c r="AH396" s="83"/>
      <c r="AI396" s="84"/>
      <c r="AJ396" s="84"/>
      <c r="AK396" s="85"/>
      <c r="AL396" s="83"/>
      <c r="AM396" s="84"/>
      <c r="AN396" s="85"/>
      <c r="AO396" s="60"/>
      <c r="AP396" s="61"/>
      <c r="AQ396" s="77">
        <f t="shared" si="13"/>
        <v>0</v>
      </c>
      <c r="AR396" s="37"/>
      <c r="AS396" s="78">
        <f t="shared" si="14"/>
        <v>0</v>
      </c>
      <c r="AT396" s="37"/>
      <c r="AU396" s="37"/>
      <c r="AV396" s="37"/>
      <c r="AW396" s="37"/>
      <c r="AX396" s="37"/>
    </row>
    <row r="397" spans="1:50" ht="20.100000000000001" customHeight="1" x14ac:dyDescent="0.25">
      <c r="A397" s="37"/>
      <c r="B397" s="58"/>
      <c r="C397" s="37"/>
      <c r="D397" s="97"/>
      <c r="E397" s="98"/>
      <c r="F397" s="101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3"/>
      <c r="T397" s="83"/>
      <c r="U397" s="85"/>
      <c r="V397" s="83"/>
      <c r="W397" s="85"/>
      <c r="X397" s="97"/>
      <c r="Y397" s="100"/>
      <c r="Z397" s="100"/>
      <c r="AA397" s="100"/>
      <c r="AB397" s="100"/>
      <c r="AC397" s="100"/>
      <c r="AD397" s="98"/>
      <c r="AE397" s="83"/>
      <c r="AF397" s="84"/>
      <c r="AG397" s="85"/>
      <c r="AH397" s="83"/>
      <c r="AI397" s="84"/>
      <c r="AJ397" s="84"/>
      <c r="AK397" s="85"/>
      <c r="AL397" s="83"/>
      <c r="AM397" s="84"/>
      <c r="AN397" s="85"/>
      <c r="AO397" s="60"/>
      <c r="AP397" s="61"/>
      <c r="AQ397" s="77">
        <f t="shared" si="13"/>
        <v>0</v>
      </c>
      <c r="AR397" s="37"/>
      <c r="AS397" s="78">
        <f t="shared" si="14"/>
        <v>0</v>
      </c>
      <c r="AT397" s="37"/>
      <c r="AU397" s="37"/>
      <c r="AV397" s="37"/>
      <c r="AW397" s="37"/>
      <c r="AX397" s="37"/>
    </row>
    <row r="398" spans="1:50" ht="20.100000000000001" customHeight="1" x14ac:dyDescent="0.25">
      <c r="A398" s="37"/>
      <c r="B398" s="58"/>
      <c r="C398" s="37"/>
      <c r="D398" s="97"/>
      <c r="E398" s="98"/>
      <c r="F398" s="101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3"/>
      <c r="T398" s="83"/>
      <c r="U398" s="85"/>
      <c r="V398" s="83"/>
      <c r="W398" s="85"/>
      <c r="X398" s="97"/>
      <c r="Y398" s="100"/>
      <c r="Z398" s="100"/>
      <c r="AA398" s="100"/>
      <c r="AB398" s="100"/>
      <c r="AC398" s="100"/>
      <c r="AD398" s="98"/>
      <c r="AE398" s="83"/>
      <c r="AF398" s="84"/>
      <c r="AG398" s="85"/>
      <c r="AH398" s="83"/>
      <c r="AI398" s="84"/>
      <c r="AJ398" s="84"/>
      <c r="AK398" s="85"/>
      <c r="AL398" s="83"/>
      <c r="AM398" s="84"/>
      <c r="AN398" s="85"/>
      <c r="AO398" s="60"/>
      <c r="AP398" s="61"/>
      <c r="AQ398" s="77">
        <f t="shared" si="13"/>
        <v>0</v>
      </c>
      <c r="AR398" s="37"/>
      <c r="AS398" s="78">
        <f t="shared" si="14"/>
        <v>0</v>
      </c>
      <c r="AT398" s="37"/>
      <c r="AU398" s="37"/>
      <c r="AV398" s="37"/>
      <c r="AW398" s="37"/>
      <c r="AX398" s="37"/>
    </row>
    <row r="399" spans="1:50" ht="20.100000000000001" customHeight="1" x14ac:dyDescent="0.25">
      <c r="A399" s="37"/>
      <c r="B399" s="58"/>
      <c r="C399" s="37"/>
      <c r="D399" s="97"/>
      <c r="E399" s="98"/>
      <c r="F399" s="101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3"/>
      <c r="T399" s="83"/>
      <c r="U399" s="85"/>
      <c r="V399" s="83"/>
      <c r="W399" s="85"/>
      <c r="X399" s="97"/>
      <c r="Y399" s="100"/>
      <c r="Z399" s="100"/>
      <c r="AA399" s="100"/>
      <c r="AB399" s="100"/>
      <c r="AC399" s="100"/>
      <c r="AD399" s="98"/>
      <c r="AE399" s="83"/>
      <c r="AF399" s="84"/>
      <c r="AG399" s="85"/>
      <c r="AH399" s="83"/>
      <c r="AI399" s="84"/>
      <c r="AJ399" s="84"/>
      <c r="AK399" s="85"/>
      <c r="AL399" s="83"/>
      <c r="AM399" s="84"/>
      <c r="AN399" s="85"/>
      <c r="AO399" s="60"/>
      <c r="AP399" s="61"/>
      <c r="AQ399" s="77">
        <f t="shared" si="13"/>
        <v>0</v>
      </c>
      <c r="AR399" s="37"/>
      <c r="AS399" s="78">
        <f t="shared" si="14"/>
        <v>0</v>
      </c>
      <c r="AT399" s="37"/>
      <c r="AU399" s="37"/>
      <c r="AV399" s="37"/>
      <c r="AW399" s="37"/>
      <c r="AX399" s="37"/>
    </row>
    <row r="400" spans="1:50" ht="20.100000000000001" customHeight="1" x14ac:dyDescent="0.25">
      <c r="A400" s="37"/>
      <c r="B400" s="58"/>
      <c r="C400" s="37"/>
      <c r="D400" s="97"/>
      <c r="E400" s="98"/>
      <c r="F400" s="101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3"/>
      <c r="T400" s="83"/>
      <c r="U400" s="85"/>
      <c r="V400" s="83"/>
      <c r="W400" s="85"/>
      <c r="X400" s="97"/>
      <c r="Y400" s="100"/>
      <c r="Z400" s="100"/>
      <c r="AA400" s="100"/>
      <c r="AB400" s="100"/>
      <c r="AC400" s="100"/>
      <c r="AD400" s="98"/>
      <c r="AE400" s="83"/>
      <c r="AF400" s="84"/>
      <c r="AG400" s="85"/>
      <c r="AH400" s="83"/>
      <c r="AI400" s="84"/>
      <c r="AJ400" s="84"/>
      <c r="AK400" s="85"/>
      <c r="AL400" s="83"/>
      <c r="AM400" s="84"/>
      <c r="AN400" s="85"/>
      <c r="AO400" s="60"/>
      <c r="AP400" s="61"/>
      <c r="AQ400" s="77">
        <f t="shared" si="13"/>
        <v>0</v>
      </c>
      <c r="AR400" s="37"/>
      <c r="AS400" s="78">
        <f t="shared" si="14"/>
        <v>0</v>
      </c>
      <c r="AT400" s="37"/>
      <c r="AU400" s="37"/>
      <c r="AV400" s="37"/>
      <c r="AW400" s="37"/>
      <c r="AX400" s="37"/>
    </row>
    <row r="401" spans="1:50" ht="20.100000000000001" customHeight="1" x14ac:dyDescent="0.25">
      <c r="A401" s="37"/>
      <c r="B401" s="58"/>
      <c r="C401" s="37"/>
      <c r="D401" s="97"/>
      <c r="E401" s="98"/>
      <c r="F401" s="101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3"/>
      <c r="T401" s="83"/>
      <c r="U401" s="85"/>
      <c r="V401" s="83"/>
      <c r="W401" s="85"/>
      <c r="X401" s="97"/>
      <c r="Y401" s="100"/>
      <c r="Z401" s="100"/>
      <c r="AA401" s="100"/>
      <c r="AB401" s="100"/>
      <c r="AC401" s="100"/>
      <c r="AD401" s="98"/>
      <c r="AE401" s="83"/>
      <c r="AF401" s="84"/>
      <c r="AG401" s="85"/>
      <c r="AH401" s="83"/>
      <c r="AI401" s="84"/>
      <c r="AJ401" s="84"/>
      <c r="AK401" s="85"/>
      <c r="AL401" s="83"/>
      <c r="AM401" s="84"/>
      <c r="AN401" s="85"/>
      <c r="AO401" s="60"/>
      <c r="AP401" s="61"/>
      <c r="AQ401" s="77">
        <f t="shared" si="13"/>
        <v>0</v>
      </c>
      <c r="AR401" s="37"/>
      <c r="AS401" s="78">
        <f t="shared" si="14"/>
        <v>0</v>
      </c>
      <c r="AT401" s="37"/>
      <c r="AU401" s="37"/>
      <c r="AV401" s="37"/>
      <c r="AW401" s="37"/>
      <c r="AX401" s="37"/>
    </row>
    <row r="402" spans="1:50" ht="20.100000000000001" customHeight="1" x14ac:dyDescent="0.25">
      <c r="A402" s="37"/>
      <c r="B402" s="58"/>
      <c r="C402" s="37"/>
      <c r="D402" s="97"/>
      <c r="E402" s="98"/>
      <c r="F402" s="101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3"/>
      <c r="T402" s="83"/>
      <c r="U402" s="85"/>
      <c r="V402" s="83"/>
      <c r="W402" s="85"/>
      <c r="X402" s="97"/>
      <c r="Y402" s="100"/>
      <c r="Z402" s="100"/>
      <c r="AA402" s="100"/>
      <c r="AB402" s="100"/>
      <c r="AC402" s="100"/>
      <c r="AD402" s="98"/>
      <c r="AE402" s="83"/>
      <c r="AF402" s="84"/>
      <c r="AG402" s="85"/>
      <c r="AH402" s="83"/>
      <c r="AI402" s="84"/>
      <c r="AJ402" s="84"/>
      <c r="AK402" s="85"/>
      <c r="AL402" s="83"/>
      <c r="AM402" s="84"/>
      <c r="AN402" s="85"/>
      <c r="AO402" s="60"/>
      <c r="AP402" s="61"/>
      <c r="AQ402" s="77">
        <f t="shared" si="13"/>
        <v>0</v>
      </c>
      <c r="AR402" s="37"/>
      <c r="AS402" s="78">
        <f t="shared" si="14"/>
        <v>0</v>
      </c>
      <c r="AT402" s="37"/>
      <c r="AU402" s="37"/>
      <c r="AV402" s="37"/>
      <c r="AW402" s="37"/>
      <c r="AX402" s="37"/>
    </row>
    <row r="403" spans="1:50" ht="20.100000000000001" customHeight="1" x14ac:dyDescent="0.25">
      <c r="A403" s="37"/>
      <c r="B403" s="58"/>
      <c r="C403" s="37"/>
      <c r="D403" s="97"/>
      <c r="E403" s="98"/>
      <c r="F403" s="101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3"/>
      <c r="T403" s="83"/>
      <c r="U403" s="85"/>
      <c r="V403" s="83"/>
      <c r="W403" s="85"/>
      <c r="X403" s="97"/>
      <c r="Y403" s="100"/>
      <c r="Z403" s="100"/>
      <c r="AA403" s="100"/>
      <c r="AB403" s="100"/>
      <c r="AC403" s="100"/>
      <c r="AD403" s="98"/>
      <c r="AE403" s="83"/>
      <c r="AF403" s="84"/>
      <c r="AG403" s="85"/>
      <c r="AH403" s="83"/>
      <c r="AI403" s="84"/>
      <c r="AJ403" s="84"/>
      <c r="AK403" s="85"/>
      <c r="AL403" s="83"/>
      <c r="AM403" s="84"/>
      <c r="AN403" s="85"/>
      <c r="AO403" s="60"/>
      <c r="AP403" s="61"/>
      <c r="AQ403" s="77">
        <f t="shared" si="13"/>
        <v>0</v>
      </c>
      <c r="AR403" s="37"/>
      <c r="AS403" s="78">
        <f t="shared" si="14"/>
        <v>0</v>
      </c>
      <c r="AT403" s="37"/>
      <c r="AU403" s="37"/>
      <c r="AV403" s="37"/>
      <c r="AW403" s="37"/>
      <c r="AX403" s="37"/>
    </row>
    <row r="404" spans="1:50" ht="20.100000000000001" customHeight="1" x14ac:dyDescent="0.25">
      <c r="A404" s="37"/>
      <c r="B404" s="58"/>
      <c r="C404" s="37"/>
      <c r="D404" s="97"/>
      <c r="E404" s="98"/>
      <c r="F404" s="101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3"/>
      <c r="T404" s="83"/>
      <c r="U404" s="85"/>
      <c r="V404" s="83"/>
      <c r="W404" s="85"/>
      <c r="X404" s="97"/>
      <c r="Y404" s="100"/>
      <c r="Z404" s="100"/>
      <c r="AA404" s="100"/>
      <c r="AB404" s="100"/>
      <c r="AC404" s="100"/>
      <c r="AD404" s="98"/>
      <c r="AE404" s="83"/>
      <c r="AF404" s="84"/>
      <c r="AG404" s="85"/>
      <c r="AH404" s="83"/>
      <c r="AI404" s="84"/>
      <c r="AJ404" s="84"/>
      <c r="AK404" s="85"/>
      <c r="AL404" s="83"/>
      <c r="AM404" s="84"/>
      <c r="AN404" s="85"/>
      <c r="AO404" s="60"/>
      <c r="AP404" s="61"/>
      <c r="AQ404" s="77">
        <f t="shared" si="13"/>
        <v>0</v>
      </c>
      <c r="AR404" s="37"/>
      <c r="AS404" s="78">
        <f t="shared" si="14"/>
        <v>0</v>
      </c>
      <c r="AT404" s="37"/>
      <c r="AU404" s="37"/>
      <c r="AV404" s="37"/>
      <c r="AW404" s="37"/>
      <c r="AX404" s="37"/>
    </row>
    <row r="405" spans="1:50" ht="20.100000000000001" customHeight="1" x14ac:dyDescent="0.25">
      <c r="A405" s="37"/>
      <c r="B405" s="58"/>
      <c r="C405" s="37"/>
      <c r="D405" s="97"/>
      <c r="E405" s="98"/>
      <c r="F405" s="101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3"/>
      <c r="T405" s="83"/>
      <c r="U405" s="85"/>
      <c r="V405" s="83"/>
      <c r="W405" s="85"/>
      <c r="X405" s="97"/>
      <c r="Y405" s="100"/>
      <c r="Z405" s="100"/>
      <c r="AA405" s="100"/>
      <c r="AB405" s="100"/>
      <c r="AC405" s="100"/>
      <c r="AD405" s="98"/>
      <c r="AE405" s="83"/>
      <c r="AF405" s="84"/>
      <c r="AG405" s="85"/>
      <c r="AH405" s="83"/>
      <c r="AI405" s="84"/>
      <c r="AJ405" s="84"/>
      <c r="AK405" s="85"/>
      <c r="AL405" s="83"/>
      <c r="AM405" s="84"/>
      <c r="AN405" s="85"/>
      <c r="AO405" s="60"/>
      <c r="AP405" s="61"/>
      <c r="AQ405" s="77">
        <f t="shared" si="13"/>
        <v>0</v>
      </c>
      <c r="AR405" s="37"/>
      <c r="AS405" s="78">
        <f t="shared" si="14"/>
        <v>0</v>
      </c>
      <c r="AT405" s="37"/>
      <c r="AU405" s="37"/>
      <c r="AV405" s="37"/>
      <c r="AW405" s="37"/>
      <c r="AX405" s="37"/>
    </row>
    <row r="406" spans="1:50" ht="20.100000000000001" customHeight="1" x14ac:dyDescent="0.25">
      <c r="A406" s="37"/>
      <c r="B406" s="58"/>
      <c r="C406" s="37"/>
      <c r="D406" s="97"/>
      <c r="E406" s="98"/>
      <c r="F406" s="101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3"/>
      <c r="T406" s="83"/>
      <c r="U406" s="85"/>
      <c r="V406" s="83"/>
      <c r="W406" s="85"/>
      <c r="X406" s="97"/>
      <c r="Y406" s="100"/>
      <c r="Z406" s="100"/>
      <c r="AA406" s="100"/>
      <c r="AB406" s="100"/>
      <c r="AC406" s="100"/>
      <c r="AD406" s="98"/>
      <c r="AE406" s="83"/>
      <c r="AF406" s="84"/>
      <c r="AG406" s="85"/>
      <c r="AH406" s="83"/>
      <c r="AI406" s="84"/>
      <c r="AJ406" s="84"/>
      <c r="AK406" s="85"/>
      <c r="AL406" s="83"/>
      <c r="AM406" s="84"/>
      <c r="AN406" s="85"/>
      <c r="AO406" s="60"/>
      <c r="AP406" s="61"/>
      <c r="AQ406" s="77">
        <f t="shared" si="13"/>
        <v>0</v>
      </c>
      <c r="AR406" s="37"/>
      <c r="AS406" s="78">
        <f t="shared" si="14"/>
        <v>0</v>
      </c>
      <c r="AT406" s="37"/>
      <c r="AU406" s="37"/>
      <c r="AV406" s="37"/>
      <c r="AW406" s="37"/>
      <c r="AX406" s="37"/>
    </row>
    <row r="407" spans="1:50" ht="20.100000000000001" customHeight="1" x14ac:dyDescent="0.25">
      <c r="A407" s="37"/>
      <c r="B407" s="58"/>
      <c r="C407" s="37"/>
      <c r="D407" s="97"/>
      <c r="E407" s="98"/>
      <c r="F407" s="101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3"/>
      <c r="T407" s="83"/>
      <c r="U407" s="85"/>
      <c r="V407" s="83"/>
      <c r="W407" s="85"/>
      <c r="X407" s="97"/>
      <c r="Y407" s="100"/>
      <c r="Z407" s="100"/>
      <c r="AA407" s="100"/>
      <c r="AB407" s="100"/>
      <c r="AC407" s="100"/>
      <c r="AD407" s="98"/>
      <c r="AE407" s="83"/>
      <c r="AF407" s="84"/>
      <c r="AG407" s="85"/>
      <c r="AH407" s="83"/>
      <c r="AI407" s="84"/>
      <c r="AJ407" s="84"/>
      <c r="AK407" s="85"/>
      <c r="AL407" s="83"/>
      <c r="AM407" s="84"/>
      <c r="AN407" s="85"/>
      <c r="AO407" s="60"/>
      <c r="AP407" s="61"/>
      <c r="AQ407" s="77">
        <f t="shared" si="13"/>
        <v>0</v>
      </c>
      <c r="AR407" s="37"/>
      <c r="AS407" s="78">
        <f t="shared" si="14"/>
        <v>0</v>
      </c>
      <c r="AT407" s="37"/>
      <c r="AU407" s="37"/>
      <c r="AV407" s="37"/>
      <c r="AW407" s="37"/>
      <c r="AX407" s="37"/>
    </row>
    <row r="408" spans="1:50" ht="20.100000000000001" customHeight="1" x14ac:dyDescent="0.25">
      <c r="A408" s="37"/>
      <c r="B408" s="58"/>
      <c r="C408" s="37"/>
      <c r="D408" s="97"/>
      <c r="E408" s="98"/>
      <c r="F408" s="101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3"/>
      <c r="T408" s="83"/>
      <c r="U408" s="85"/>
      <c r="V408" s="83"/>
      <c r="W408" s="85"/>
      <c r="X408" s="97"/>
      <c r="Y408" s="100"/>
      <c r="Z408" s="100"/>
      <c r="AA408" s="100"/>
      <c r="AB408" s="100"/>
      <c r="AC408" s="100"/>
      <c r="AD408" s="98"/>
      <c r="AE408" s="83"/>
      <c r="AF408" s="84"/>
      <c r="AG408" s="85"/>
      <c r="AH408" s="83"/>
      <c r="AI408" s="84"/>
      <c r="AJ408" s="84"/>
      <c r="AK408" s="85"/>
      <c r="AL408" s="83"/>
      <c r="AM408" s="84"/>
      <c r="AN408" s="85"/>
      <c r="AO408" s="60"/>
      <c r="AP408" s="61"/>
      <c r="AQ408" s="77">
        <f t="shared" si="13"/>
        <v>0</v>
      </c>
      <c r="AR408" s="37"/>
      <c r="AS408" s="78">
        <f t="shared" si="14"/>
        <v>0</v>
      </c>
      <c r="AT408" s="37"/>
      <c r="AU408" s="37"/>
      <c r="AV408" s="37"/>
      <c r="AW408" s="37"/>
      <c r="AX408" s="37"/>
    </row>
    <row r="409" spans="1:50" ht="20.100000000000001" customHeight="1" x14ac:dyDescent="0.25">
      <c r="A409" s="37"/>
      <c r="B409" s="58"/>
      <c r="C409" s="37"/>
      <c r="D409" s="97"/>
      <c r="E409" s="98"/>
      <c r="F409" s="101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3"/>
      <c r="T409" s="83"/>
      <c r="U409" s="85"/>
      <c r="V409" s="83"/>
      <c r="W409" s="85"/>
      <c r="X409" s="97"/>
      <c r="Y409" s="100"/>
      <c r="Z409" s="100"/>
      <c r="AA409" s="100"/>
      <c r="AB409" s="100"/>
      <c r="AC409" s="100"/>
      <c r="AD409" s="98"/>
      <c r="AE409" s="83"/>
      <c r="AF409" s="84"/>
      <c r="AG409" s="85"/>
      <c r="AH409" s="83"/>
      <c r="AI409" s="84"/>
      <c r="AJ409" s="84"/>
      <c r="AK409" s="85"/>
      <c r="AL409" s="83"/>
      <c r="AM409" s="84"/>
      <c r="AN409" s="85"/>
      <c r="AO409" s="60"/>
      <c r="AP409" s="61"/>
      <c r="AQ409" s="77">
        <f t="shared" si="13"/>
        <v>0</v>
      </c>
      <c r="AR409" s="37"/>
      <c r="AS409" s="78">
        <f t="shared" si="14"/>
        <v>0</v>
      </c>
      <c r="AT409" s="37"/>
      <c r="AU409" s="37"/>
      <c r="AV409" s="37"/>
      <c r="AW409" s="37"/>
      <c r="AX409" s="37"/>
    </row>
    <row r="410" spans="1:50" ht="20.100000000000001" customHeight="1" x14ac:dyDescent="0.25">
      <c r="A410" s="37"/>
      <c r="B410" s="58"/>
      <c r="C410" s="37"/>
      <c r="D410" s="97"/>
      <c r="E410" s="98"/>
      <c r="F410" s="101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3"/>
      <c r="T410" s="83"/>
      <c r="U410" s="85"/>
      <c r="V410" s="83"/>
      <c r="W410" s="85"/>
      <c r="X410" s="97"/>
      <c r="Y410" s="100"/>
      <c r="Z410" s="100"/>
      <c r="AA410" s="100"/>
      <c r="AB410" s="100"/>
      <c r="AC410" s="100"/>
      <c r="AD410" s="98"/>
      <c r="AE410" s="83"/>
      <c r="AF410" s="84"/>
      <c r="AG410" s="85"/>
      <c r="AH410" s="83"/>
      <c r="AI410" s="84"/>
      <c r="AJ410" s="84"/>
      <c r="AK410" s="85"/>
      <c r="AL410" s="83"/>
      <c r="AM410" s="84"/>
      <c r="AN410" s="85"/>
      <c r="AO410" s="60"/>
      <c r="AP410" s="61"/>
      <c r="AQ410" s="77">
        <f t="shared" si="13"/>
        <v>0</v>
      </c>
      <c r="AR410" s="37"/>
      <c r="AS410" s="78">
        <f t="shared" si="14"/>
        <v>0</v>
      </c>
      <c r="AT410" s="37"/>
      <c r="AU410" s="37"/>
      <c r="AV410" s="37"/>
      <c r="AW410" s="37"/>
      <c r="AX410" s="37"/>
    </row>
    <row r="411" spans="1:50" ht="20.100000000000001" customHeight="1" x14ac:dyDescent="0.25">
      <c r="A411" s="37"/>
      <c r="B411" s="58"/>
      <c r="C411" s="37"/>
      <c r="D411" s="97"/>
      <c r="E411" s="98"/>
      <c r="F411" s="101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3"/>
      <c r="T411" s="83"/>
      <c r="U411" s="85"/>
      <c r="V411" s="83"/>
      <c r="W411" s="85"/>
      <c r="X411" s="97"/>
      <c r="Y411" s="100"/>
      <c r="Z411" s="100"/>
      <c r="AA411" s="100"/>
      <c r="AB411" s="100"/>
      <c r="AC411" s="100"/>
      <c r="AD411" s="98"/>
      <c r="AE411" s="83"/>
      <c r="AF411" s="84"/>
      <c r="AG411" s="85"/>
      <c r="AH411" s="83"/>
      <c r="AI411" s="84"/>
      <c r="AJ411" s="84"/>
      <c r="AK411" s="85"/>
      <c r="AL411" s="83"/>
      <c r="AM411" s="84"/>
      <c r="AN411" s="85"/>
      <c r="AO411" s="60"/>
      <c r="AP411" s="61"/>
      <c r="AQ411" s="77">
        <f t="shared" si="13"/>
        <v>0</v>
      </c>
      <c r="AR411" s="37"/>
      <c r="AS411" s="78">
        <f t="shared" si="14"/>
        <v>0</v>
      </c>
      <c r="AT411" s="37"/>
      <c r="AU411" s="37"/>
      <c r="AV411" s="37"/>
      <c r="AW411" s="37"/>
      <c r="AX411" s="37"/>
    </row>
    <row r="412" spans="1:50" ht="20.100000000000001" customHeight="1" x14ac:dyDescent="0.25">
      <c r="A412" s="37"/>
      <c r="B412" s="58"/>
      <c r="C412" s="37"/>
      <c r="D412" s="97"/>
      <c r="E412" s="98"/>
      <c r="F412" s="101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3"/>
      <c r="T412" s="83"/>
      <c r="U412" s="85"/>
      <c r="V412" s="83"/>
      <c r="W412" s="85"/>
      <c r="X412" s="97"/>
      <c r="Y412" s="100"/>
      <c r="Z412" s="100"/>
      <c r="AA412" s="100"/>
      <c r="AB412" s="100"/>
      <c r="AC412" s="100"/>
      <c r="AD412" s="98"/>
      <c r="AE412" s="83"/>
      <c r="AF412" s="84"/>
      <c r="AG412" s="85"/>
      <c r="AH412" s="83"/>
      <c r="AI412" s="84"/>
      <c r="AJ412" s="84"/>
      <c r="AK412" s="85"/>
      <c r="AL412" s="83"/>
      <c r="AM412" s="84"/>
      <c r="AN412" s="85"/>
      <c r="AO412" s="60"/>
      <c r="AP412" s="61"/>
      <c r="AQ412" s="77">
        <f t="shared" si="13"/>
        <v>0</v>
      </c>
      <c r="AR412" s="37"/>
      <c r="AS412" s="78">
        <f t="shared" si="14"/>
        <v>0</v>
      </c>
      <c r="AT412" s="37"/>
      <c r="AU412" s="37"/>
      <c r="AV412" s="37"/>
      <c r="AW412" s="37"/>
      <c r="AX412" s="37"/>
    </row>
    <row r="413" spans="1:50" ht="20.100000000000001" customHeight="1" x14ac:dyDescent="0.25">
      <c r="A413" s="37"/>
      <c r="B413" s="58"/>
      <c r="C413" s="37"/>
      <c r="D413" s="97"/>
      <c r="E413" s="98"/>
      <c r="F413" s="101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3"/>
      <c r="T413" s="83"/>
      <c r="U413" s="85"/>
      <c r="V413" s="83"/>
      <c r="W413" s="85"/>
      <c r="X413" s="97"/>
      <c r="Y413" s="100"/>
      <c r="Z413" s="100"/>
      <c r="AA413" s="100"/>
      <c r="AB413" s="100"/>
      <c r="AC413" s="100"/>
      <c r="AD413" s="98"/>
      <c r="AE413" s="83"/>
      <c r="AF413" s="84"/>
      <c r="AG413" s="85"/>
      <c r="AH413" s="83"/>
      <c r="AI413" s="84"/>
      <c r="AJ413" s="84"/>
      <c r="AK413" s="85"/>
      <c r="AL413" s="83"/>
      <c r="AM413" s="84"/>
      <c r="AN413" s="85"/>
      <c r="AO413" s="60"/>
      <c r="AP413" s="61"/>
      <c r="AQ413" s="77">
        <f t="shared" si="13"/>
        <v>0</v>
      </c>
      <c r="AR413" s="37"/>
      <c r="AS413" s="78">
        <f t="shared" si="14"/>
        <v>0</v>
      </c>
      <c r="AT413" s="37"/>
      <c r="AU413" s="37"/>
      <c r="AV413" s="37"/>
      <c r="AW413" s="37"/>
      <c r="AX413" s="37"/>
    </row>
    <row r="414" spans="1:50" ht="20.100000000000001" customHeight="1" x14ac:dyDescent="0.25">
      <c r="A414" s="37"/>
      <c r="B414" s="58"/>
      <c r="C414" s="37"/>
      <c r="D414" s="97"/>
      <c r="E414" s="98"/>
      <c r="F414" s="101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3"/>
      <c r="T414" s="83"/>
      <c r="U414" s="85"/>
      <c r="V414" s="83"/>
      <c r="W414" s="85"/>
      <c r="X414" s="97"/>
      <c r="Y414" s="100"/>
      <c r="Z414" s="100"/>
      <c r="AA414" s="100"/>
      <c r="AB414" s="100"/>
      <c r="AC414" s="100"/>
      <c r="AD414" s="98"/>
      <c r="AE414" s="83"/>
      <c r="AF414" s="84"/>
      <c r="AG414" s="85"/>
      <c r="AH414" s="83"/>
      <c r="AI414" s="84"/>
      <c r="AJ414" s="84"/>
      <c r="AK414" s="85"/>
      <c r="AL414" s="83"/>
      <c r="AM414" s="84"/>
      <c r="AN414" s="85"/>
      <c r="AO414" s="60"/>
      <c r="AP414" s="61"/>
      <c r="AQ414" s="77">
        <f t="shared" si="13"/>
        <v>0</v>
      </c>
      <c r="AR414" s="37"/>
      <c r="AS414" s="78">
        <f t="shared" si="14"/>
        <v>0</v>
      </c>
      <c r="AT414" s="37"/>
      <c r="AU414" s="37"/>
      <c r="AV414" s="37"/>
      <c r="AW414" s="37"/>
      <c r="AX414" s="37"/>
    </row>
    <row r="415" spans="1:50" ht="20.100000000000001" customHeight="1" x14ac:dyDescent="0.25">
      <c r="A415" s="37"/>
      <c r="B415" s="58"/>
      <c r="C415" s="37"/>
      <c r="D415" s="97"/>
      <c r="E415" s="98"/>
      <c r="F415" s="101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3"/>
      <c r="T415" s="83"/>
      <c r="U415" s="85"/>
      <c r="V415" s="83"/>
      <c r="W415" s="85"/>
      <c r="X415" s="97"/>
      <c r="Y415" s="100"/>
      <c r="Z415" s="100"/>
      <c r="AA415" s="100"/>
      <c r="AB415" s="100"/>
      <c r="AC415" s="100"/>
      <c r="AD415" s="98"/>
      <c r="AE415" s="83"/>
      <c r="AF415" s="84"/>
      <c r="AG415" s="85"/>
      <c r="AH415" s="83"/>
      <c r="AI415" s="84"/>
      <c r="AJ415" s="84"/>
      <c r="AK415" s="85"/>
      <c r="AL415" s="83"/>
      <c r="AM415" s="84"/>
      <c r="AN415" s="85"/>
      <c r="AO415" s="60"/>
      <c r="AP415" s="61"/>
      <c r="AQ415" s="77">
        <f t="shared" si="13"/>
        <v>0</v>
      </c>
      <c r="AR415" s="37"/>
      <c r="AS415" s="78">
        <f t="shared" si="14"/>
        <v>0</v>
      </c>
      <c r="AT415" s="37"/>
      <c r="AU415" s="37"/>
      <c r="AV415" s="37"/>
      <c r="AW415" s="37"/>
      <c r="AX415" s="37"/>
    </row>
    <row r="416" spans="1:50" ht="20.100000000000001" customHeight="1" x14ac:dyDescent="0.25">
      <c r="A416" s="37"/>
      <c r="B416" s="58"/>
      <c r="C416" s="37"/>
      <c r="D416" s="97"/>
      <c r="E416" s="98"/>
      <c r="F416" s="101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3"/>
      <c r="T416" s="83"/>
      <c r="U416" s="85"/>
      <c r="V416" s="83"/>
      <c r="W416" s="85"/>
      <c r="X416" s="97"/>
      <c r="Y416" s="100"/>
      <c r="Z416" s="100"/>
      <c r="AA416" s="100"/>
      <c r="AB416" s="100"/>
      <c r="AC416" s="100"/>
      <c r="AD416" s="98"/>
      <c r="AE416" s="83"/>
      <c r="AF416" s="84"/>
      <c r="AG416" s="85"/>
      <c r="AH416" s="83"/>
      <c r="AI416" s="84"/>
      <c r="AJ416" s="84"/>
      <c r="AK416" s="85"/>
      <c r="AL416" s="83"/>
      <c r="AM416" s="84"/>
      <c r="AN416" s="85"/>
      <c r="AO416" s="60"/>
      <c r="AP416" s="61"/>
      <c r="AQ416" s="77">
        <f t="shared" si="13"/>
        <v>0</v>
      </c>
      <c r="AR416" s="37"/>
      <c r="AS416" s="78">
        <f t="shared" si="14"/>
        <v>0</v>
      </c>
      <c r="AT416" s="37"/>
      <c r="AU416" s="37"/>
      <c r="AV416" s="37"/>
      <c r="AW416" s="37"/>
      <c r="AX416" s="37"/>
    </row>
    <row r="417" spans="1:50" ht="20.100000000000001" customHeight="1" x14ac:dyDescent="0.25">
      <c r="A417" s="37"/>
      <c r="B417" s="58"/>
      <c r="C417" s="37"/>
      <c r="D417" s="97"/>
      <c r="E417" s="98"/>
      <c r="F417" s="101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3"/>
      <c r="T417" s="83"/>
      <c r="U417" s="85"/>
      <c r="V417" s="83"/>
      <c r="W417" s="85"/>
      <c r="X417" s="97"/>
      <c r="Y417" s="100"/>
      <c r="Z417" s="100"/>
      <c r="AA417" s="100"/>
      <c r="AB417" s="100"/>
      <c r="AC417" s="100"/>
      <c r="AD417" s="98"/>
      <c r="AE417" s="83"/>
      <c r="AF417" s="84"/>
      <c r="AG417" s="85"/>
      <c r="AH417" s="83"/>
      <c r="AI417" s="84"/>
      <c r="AJ417" s="84"/>
      <c r="AK417" s="85"/>
      <c r="AL417" s="83"/>
      <c r="AM417" s="84"/>
      <c r="AN417" s="85"/>
      <c r="AO417" s="60"/>
      <c r="AP417" s="61"/>
      <c r="AQ417" s="77">
        <f t="shared" si="13"/>
        <v>0</v>
      </c>
      <c r="AR417" s="37"/>
      <c r="AS417" s="78">
        <f t="shared" si="14"/>
        <v>0</v>
      </c>
      <c r="AT417" s="37"/>
      <c r="AU417" s="37"/>
      <c r="AV417" s="37"/>
      <c r="AW417" s="37"/>
      <c r="AX417" s="37"/>
    </row>
    <row r="418" spans="1:50" ht="20.100000000000001" customHeight="1" x14ac:dyDescent="0.25">
      <c r="A418" s="37"/>
      <c r="B418" s="58"/>
      <c r="C418" s="37"/>
      <c r="D418" s="97"/>
      <c r="E418" s="98"/>
      <c r="F418" s="101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3"/>
      <c r="T418" s="83"/>
      <c r="U418" s="85"/>
      <c r="V418" s="83"/>
      <c r="W418" s="85"/>
      <c r="X418" s="97"/>
      <c r="Y418" s="100"/>
      <c r="Z418" s="100"/>
      <c r="AA418" s="100"/>
      <c r="AB418" s="100"/>
      <c r="AC418" s="100"/>
      <c r="AD418" s="98"/>
      <c r="AE418" s="83"/>
      <c r="AF418" s="84"/>
      <c r="AG418" s="85"/>
      <c r="AH418" s="83"/>
      <c r="AI418" s="84"/>
      <c r="AJ418" s="84"/>
      <c r="AK418" s="85"/>
      <c r="AL418" s="83"/>
      <c r="AM418" s="84"/>
      <c r="AN418" s="85"/>
      <c r="AO418" s="60"/>
      <c r="AP418" s="61"/>
      <c r="AQ418" s="77">
        <f t="shared" si="13"/>
        <v>0</v>
      </c>
      <c r="AR418" s="37"/>
      <c r="AS418" s="78">
        <f t="shared" si="14"/>
        <v>0</v>
      </c>
      <c r="AT418" s="37"/>
      <c r="AU418" s="37"/>
      <c r="AV418" s="37"/>
      <c r="AW418" s="37"/>
      <c r="AX418" s="37"/>
    </row>
    <row r="419" spans="1:50" ht="20.100000000000001" customHeight="1" x14ac:dyDescent="0.25">
      <c r="A419" s="37"/>
      <c r="B419" s="58"/>
      <c r="C419" s="37"/>
      <c r="D419" s="97"/>
      <c r="E419" s="98"/>
      <c r="F419" s="101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3"/>
      <c r="T419" s="83"/>
      <c r="U419" s="85"/>
      <c r="V419" s="83"/>
      <c r="W419" s="85"/>
      <c r="X419" s="97"/>
      <c r="Y419" s="100"/>
      <c r="Z419" s="100"/>
      <c r="AA419" s="100"/>
      <c r="AB419" s="100"/>
      <c r="AC419" s="100"/>
      <c r="AD419" s="98"/>
      <c r="AE419" s="83"/>
      <c r="AF419" s="84"/>
      <c r="AG419" s="85"/>
      <c r="AH419" s="83"/>
      <c r="AI419" s="84"/>
      <c r="AJ419" s="84"/>
      <c r="AK419" s="85"/>
      <c r="AL419" s="83"/>
      <c r="AM419" s="84"/>
      <c r="AN419" s="85"/>
      <c r="AO419" s="60"/>
      <c r="AP419" s="61"/>
      <c r="AQ419" s="77">
        <f t="shared" si="13"/>
        <v>0</v>
      </c>
      <c r="AR419" s="37"/>
      <c r="AS419" s="78">
        <f t="shared" si="14"/>
        <v>0</v>
      </c>
      <c r="AT419" s="37"/>
      <c r="AU419" s="37"/>
      <c r="AV419" s="37"/>
      <c r="AW419" s="37"/>
      <c r="AX419" s="37"/>
    </row>
    <row r="420" spans="1:50" ht="20.100000000000001" customHeight="1" x14ac:dyDescent="0.25">
      <c r="A420" s="37"/>
      <c r="B420" s="58"/>
      <c r="C420" s="37"/>
      <c r="D420" s="97"/>
      <c r="E420" s="98"/>
      <c r="F420" s="101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3"/>
      <c r="T420" s="83"/>
      <c r="U420" s="85"/>
      <c r="V420" s="83"/>
      <c r="W420" s="85"/>
      <c r="X420" s="97"/>
      <c r="Y420" s="100"/>
      <c r="Z420" s="100"/>
      <c r="AA420" s="100"/>
      <c r="AB420" s="100"/>
      <c r="AC420" s="100"/>
      <c r="AD420" s="98"/>
      <c r="AE420" s="83"/>
      <c r="AF420" s="84"/>
      <c r="AG420" s="85"/>
      <c r="AH420" s="83"/>
      <c r="AI420" s="84"/>
      <c r="AJ420" s="84"/>
      <c r="AK420" s="85"/>
      <c r="AL420" s="83"/>
      <c r="AM420" s="84"/>
      <c r="AN420" s="85"/>
      <c r="AO420" s="60"/>
      <c r="AP420" s="61"/>
      <c r="AQ420" s="77">
        <f t="shared" si="13"/>
        <v>0</v>
      </c>
      <c r="AR420" s="37"/>
      <c r="AS420" s="78">
        <f t="shared" si="14"/>
        <v>0</v>
      </c>
      <c r="AT420" s="37"/>
      <c r="AU420" s="37"/>
      <c r="AV420" s="37"/>
      <c r="AW420" s="37"/>
      <c r="AX420" s="37"/>
    </row>
    <row r="421" spans="1:50" ht="20.100000000000001" customHeight="1" x14ac:dyDescent="0.25">
      <c r="A421" s="37"/>
      <c r="B421" s="58"/>
      <c r="C421" s="37"/>
      <c r="D421" s="97"/>
      <c r="E421" s="98"/>
      <c r="F421" s="101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3"/>
      <c r="T421" s="83"/>
      <c r="U421" s="85"/>
      <c r="V421" s="83"/>
      <c r="W421" s="85"/>
      <c r="X421" s="97"/>
      <c r="Y421" s="100"/>
      <c r="Z421" s="100"/>
      <c r="AA421" s="100"/>
      <c r="AB421" s="100"/>
      <c r="AC421" s="100"/>
      <c r="AD421" s="98"/>
      <c r="AE421" s="83"/>
      <c r="AF421" s="84"/>
      <c r="AG421" s="85"/>
      <c r="AH421" s="83"/>
      <c r="AI421" s="84"/>
      <c r="AJ421" s="84"/>
      <c r="AK421" s="85"/>
      <c r="AL421" s="83"/>
      <c r="AM421" s="84"/>
      <c r="AN421" s="85"/>
      <c r="AO421" s="60"/>
      <c r="AP421" s="61"/>
      <c r="AQ421" s="77">
        <f t="shared" si="13"/>
        <v>0</v>
      </c>
      <c r="AR421" s="37"/>
      <c r="AS421" s="78">
        <f t="shared" si="14"/>
        <v>0</v>
      </c>
      <c r="AT421" s="37"/>
      <c r="AU421" s="37"/>
      <c r="AV421" s="37"/>
      <c r="AW421" s="37"/>
      <c r="AX421" s="37"/>
    </row>
    <row r="422" spans="1:50" ht="20.100000000000001" customHeight="1" x14ac:dyDescent="0.25">
      <c r="A422" s="37"/>
      <c r="B422" s="58"/>
      <c r="C422" s="37"/>
      <c r="D422" s="97"/>
      <c r="E422" s="98"/>
      <c r="F422" s="101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3"/>
      <c r="T422" s="83"/>
      <c r="U422" s="85"/>
      <c r="V422" s="83"/>
      <c r="W422" s="85"/>
      <c r="X422" s="97"/>
      <c r="Y422" s="100"/>
      <c r="Z422" s="100"/>
      <c r="AA422" s="100"/>
      <c r="AB422" s="100"/>
      <c r="AC422" s="100"/>
      <c r="AD422" s="98"/>
      <c r="AE422" s="83"/>
      <c r="AF422" s="84"/>
      <c r="AG422" s="85"/>
      <c r="AH422" s="83"/>
      <c r="AI422" s="84"/>
      <c r="AJ422" s="84"/>
      <c r="AK422" s="85"/>
      <c r="AL422" s="83"/>
      <c r="AM422" s="84"/>
      <c r="AN422" s="85"/>
      <c r="AO422" s="60"/>
      <c r="AP422" s="61"/>
      <c r="AQ422" s="77">
        <f t="shared" si="13"/>
        <v>0</v>
      </c>
      <c r="AR422" s="37"/>
      <c r="AS422" s="78">
        <f t="shared" si="14"/>
        <v>0</v>
      </c>
      <c r="AT422" s="37"/>
      <c r="AU422" s="37"/>
      <c r="AV422" s="37"/>
      <c r="AW422" s="37"/>
      <c r="AX422" s="37"/>
    </row>
    <row r="423" spans="1:50" ht="20.100000000000001" customHeight="1" x14ac:dyDescent="0.25">
      <c r="A423" s="37"/>
      <c r="B423" s="58"/>
      <c r="C423" s="37"/>
      <c r="D423" s="97"/>
      <c r="E423" s="98"/>
      <c r="F423" s="101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3"/>
      <c r="T423" s="83"/>
      <c r="U423" s="85"/>
      <c r="V423" s="83"/>
      <c r="W423" s="85"/>
      <c r="X423" s="97"/>
      <c r="Y423" s="100"/>
      <c r="Z423" s="100"/>
      <c r="AA423" s="100"/>
      <c r="AB423" s="100"/>
      <c r="AC423" s="100"/>
      <c r="AD423" s="98"/>
      <c r="AE423" s="83"/>
      <c r="AF423" s="84"/>
      <c r="AG423" s="85"/>
      <c r="AH423" s="83"/>
      <c r="AI423" s="84"/>
      <c r="AJ423" s="84"/>
      <c r="AK423" s="85"/>
      <c r="AL423" s="83"/>
      <c r="AM423" s="84"/>
      <c r="AN423" s="85"/>
      <c r="AO423" s="60"/>
      <c r="AP423" s="61"/>
      <c r="AQ423" s="77">
        <f t="shared" si="13"/>
        <v>0</v>
      </c>
      <c r="AR423" s="37"/>
      <c r="AS423" s="78">
        <f t="shared" si="14"/>
        <v>0</v>
      </c>
      <c r="AT423" s="37"/>
      <c r="AU423" s="37"/>
      <c r="AV423" s="37"/>
      <c r="AW423" s="37"/>
      <c r="AX423" s="37"/>
    </row>
    <row r="424" spans="1:50" ht="20.100000000000001" customHeight="1" x14ac:dyDescent="0.25">
      <c r="A424" s="37"/>
      <c r="B424" s="58"/>
      <c r="C424" s="37"/>
      <c r="D424" s="97"/>
      <c r="E424" s="98"/>
      <c r="F424" s="101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3"/>
      <c r="T424" s="83"/>
      <c r="U424" s="85"/>
      <c r="V424" s="83"/>
      <c r="W424" s="85"/>
      <c r="X424" s="97"/>
      <c r="Y424" s="100"/>
      <c r="Z424" s="100"/>
      <c r="AA424" s="100"/>
      <c r="AB424" s="100"/>
      <c r="AC424" s="100"/>
      <c r="AD424" s="98"/>
      <c r="AE424" s="83"/>
      <c r="AF424" s="84"/>
      <c r="AG424" s="85"/>
      <c r="AH424" s="83"/>
      <c r="AI424" s="84"/>
      <c r="AJ424" s="84"/>
      <c r="AK424" s="85"/>
      <c r="AL424" s="83"/>
      <c r="AM424" s="84"/>
      <c r="AN424" s="85"/>
      <c r="AO424" s="60"/>
      <c r="AP424" s="61"/>
      <c r="AQ424" s="77">
        <f t="shared" si="13"/>
        <v>0</v>
      </c>
      <c r="AR424" s="37"/>
      <c r="AS424" s="78">
        <f t="shared" si="14"/>
        <v>0</v>
      </c>
      <c r="AT424" s="37"/>
      <c r="AU424" s="37"/>
      <c r="AV424" s="37"/>
      <c r="AW424" s="37"/>
      <c r="AX424" s="37"/>
    </row>
    <row r="425" spans="1:50" ht="20.100000000000001" customHeight="1" x14ac:dyDescent="0.25">
      <c r="A425" s="37"/>
      <c r="B425" s="58"/>
      <c r="C425" s="37"/>
      <c r="D425" s="97"/>
      <c r="E425" s="98"/>
      <c r="F425" s="101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3"/>
      <c r="T425" s="83"/>
      <c r="U425" s="85"/>
      <c r="V425" s="83"/>
      <c r="W425" s="85"/>
      <c r="X425" s="97"/>
      <c r="Y425" s="100"/>
      <c r="Z425" s="100"/>
      <c r="AA425" s="100"/>
      <c r="AB425" s="100"/>
      <c r="AC425" s="100"/>
      <c r="AD425" s="98"/>
      <c r="AE425" s="83"/>
      <c r="AF425" s="84"/>
      <c r="AG425" s="85"/>
      <c r="AH425" s="83"/>
      <c r="AI425" s="84"/>
      <c r="AJ425" s="84"/>
      <c r="AK425" s="85"/>
      <c r="AL425" s="83"/>
      <c r="AM425" s="84"/>
      <c r="AN425" s="85"/>
      <c r="AO425" s="60"/>
      <c r="AP425" s="61"/>
      <c r="AQ425" s="77">
        <f t="shared" si="13"/>
        <v>0</v>
      </c>
      <c r="AR425" s="37"/>
      <c r="AS425" s="78">
        <f t="shared" si="14"/>
        <v>0</v>
      </c>
      <c r="AT425" s="37"/>
      <c r="AU425" s="37"/>
      <c r="AV425" s="37"/>
      <c r="AW425" s="37"/>
      <c r="AX425" s="37"/>
    </row>
    <row r="426" spans="1:50" ht="20.100000000000001" customHeight="1" x14ac:dyDescent="0.25">
      <c r="A426" s="37"/>
      <c r="B426" s="58"/>
      <c r="C426" s="37"/>
      <c r="D426" s="97"/>
      <c r="E426" s="98"/>
      <c r="F426" s="101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3"/>
      <c r="T426" s="83"/>
      <c r="U426" s="85"/>
      <c r="V426" s="83"/>
      <c r="W426" s="85"/>
      <c r="X426" s="97"/>
      <c r="Y426" s="100"/>
      <c r="Z426" s="100"/>
      <c r="AA426" s="100"/>
      <c r="AB426" s="100"/>
      <c r="AC426" s="100"/>
      <c r="AD426" s="98"/>
      <c r="AE426" s="83"/>
      <c r="AF426" s="84"/>
      <c r="AG426" s="85"/>
      <c r="AH426" s="83"/>
      <c r="AI426" s="84"/>
      <c r="AJ426" s="84"/>
      <c r="AK426" s="85"/>
      <c r="AL426" s="83"/>
      <c r="AM426" s="84"/>
      <c r="AN426" s="85"/>
      <c r="AO426" s="60"/>
      <c r="AP426" s="61"/>
      <c r="AQ426" s="77">
        <f t="shared" si="13"/>
        <v>0</v>
      </c>
      <c r="AR426" s="37"/>
      <c r="AS426" s="78">
        <f t="shared" si="14"/>
        <v>0</v>
      </c>
      <c r="AT426" s="37"/>
      <c r="AU426" s="37"/>
      <c r="AV426" s="37"/>
      <c r="AW426" s="37"/>
      <c r="AX426" s="37"/>
    </row>
    <row r="427" spans="1:50" ht="20.100000000000001" customHeight="1" x14ac:dyDescent="0.25">
      <c r="A427" s="37"/>
      <c r="B427" s="58"/>
      <c r="C427" s="37"/>
      <c r="D427" s="97"/>
      <c r="E427" s="98"/>
      <c r="F427" s="101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3"/>
      <c r="T427" s="83"/>
      <c r="U427" s="85"/>
      <c r="V427" s="83"/>
      <c r="W427" s="85"/>
      <c r="X427" s="97"/>
      <c r="Y427" s="100"/>
      <c r="Z427" s="100"/>
      <c r="AA427" s="100"/>
      <c r="AB427" s="100"/>
      <c r="AC427" s="100"/>
      <c r="AD427" s="98"/>
      <c r="AE427" s="83"/>
      <c r="AF427" s="84"/>
      <c r="AG427" s="85"/>
      <c r="AH427" s="83"/>
      <c r="AI427" s="84"/>
      <c r="AJ427" s="84"/>
      <c r="AK427" s="85"/>
      <c r="AL427" s="83"/>
      <c r="AM427" s="84"/>
      <c r="AN427" s="85"/>
      <c r="AO427" s="60"/>
      <c r="AP427" s="61"/>
      <c r="AQ427" s="77">
        <f t="shared" si="13"/>
        <v>0</v>
      </c>
      <c r="AR427" s="37"/>
      <c r="AS427" s="78">
        <f t="shared" si="14"/>
        <v>0</v>
      </c>
      <c r="AT427" s="37"/>
      <c r="AU427" s="37"/>
      <c r="AV427" s="37"/>
      <c r="AW427" s="37"/>
      <c r="AX427" s="37"/>
    </row>
    <row r="428" spans="1:50" ht="20.100000000000001" customHeight="1" x14ac:dyDescent="0.25">
      <c r="A428" s="37"/>
      <c r="B428" s="58"/>
      <c r="C428" s="37"/>
      <c r="D428" s="97"/>
      <c r="E428" s="98"/>
      <c r="F428" s="101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3"/>
      <c r="T428" s="83"/>
      <c r="U428" s="85"/>
      <c r="V428" s="83"/>
      <c r="W428" s="85"/>
      <c r="X428" s="97"/>
      <c r="Y428" s="100"/>
      <c r="Z428" s="100"/>
      <c r="AA428" s="100"/>
      <c r="AB428" s="100"/>
      <c r="AC428" s="100"/>
      <c r="AD428" s="98"/>
      <c r="AE428" s="83"/>
      <c r="AF428" s="84"/>
      <c r="AG428" s="85"/>
      <c r="AH428" s="83"/>
      <c r="AI428" s="84"/>
      <c r="AJ428" s="84"/>
      <c r="AK428" s="85"/>
      <c r="AL428" s="83"/>
      <c r="AM428" s="84"/>
      <c r="AN428" s="85"/>
      <c r="AO428" s="60"/>
      <c r="AP428" s="61"/>
      <c r="AQ428" s="77">
        <f t="shared" si="13"/>
        <v>0</v>
      </c>
      <c r="AR428" s="37"/>
      <c r="AS428" s="78">
        <f t="shared" si="14"/>
        <v>0</v>
      </c>
      <c r="AT428" s="37"/>
      <c r="AU428" s="37"/>
      <c r="AV428" s="37"/>
      <c r="AW428" s="37"/>
      <c r="AX428" s="37"/>
    </row>
    <row r="429" spans="1:50" ht="20.100000000000001" customHeight="1" x14ac:dyDescent="0.25">
      <c r="A429" s="37"/>
      <c r="B429" s="58"/>
      <c r="C429" s="37"/>
      <c r="D429" s="97"/>
      <c r="E429" s="98"/>
      <c r="F429" s="101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3"/>
      <c r="T429" s="83"/>
      <c r="U429" s="85"/>
      <c r="V429" s="83"/>
      <c r="W429" s="85"/>
      <c r="X429" s="97"/>
      <c r="Y429" s="100"/>
      <c r="Z429" s="100"/>
      <c r="AA429" s="100"/>
      <c r="AB429" s="100"/>
      <c r="AC429" s="100"/>
      <c r="AD429" s="98"/>
      <c r="AE429" s="83"/>
      <c r="AF429" s="84"/>
      <c r="AG429" s="85"/>
      <c r="AH429" s="83"/>
      <c r="AI429" s="84"/>
      <c r="AJ429" s="84"/>
      <c r="AK429" s="85"/>
      <c r="AL429" s="83"/>
      <c r="AM429" s="84"/>
      <c r="AN429" s="85"/>
      <c r="AO429" s="60"/>
      <c r="AP429" s="61"/>
      <c r="AQ429" s="77">
        <f t="shared" si="13"/>
        <v>0</v>
      </c>
      <c r="AR429" s="37"/>
      <c r="AS429" s="78">
        <f t="shared" si="14"/>
        <v>0</v>
      </c>
      <c r="AT429" s="37"/>
      <c r="AU429" s="37"/>
      <c r="AV429" s="37"/>
      <c r="AW429" s="37"/>
      <c r="AX429" s="37"/>
    </row>
    <row r="430" spans="1:50" ht="20.100000000000001" customHeight="1" x14ac:dyDescent="0.25">
      <c r="A430" s="37"/>
      <c r="B430" s="58"/>
      <c r="C430" s="37"/>
      <c r="D430" s="97"/>
      <c r="E430" s="98"/>
      <c r="F430" s="101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3"/>
      <c r="T430" s="83"/>
      <c r="U430" s="85"/>
      <c r="V430" s="83"/>
      <c r="W430" s="85"/>
      <c r="X430" s="97"/>
      <c r="Y430" s="100"/>
      <c r="Z430" s="100"/>
      <c r="AA430" s="100"/>
      <c r="AB430" s="100"/>
      <c r="AC430" s="100"/>
      <c r="AD430" s="98"/>
      <c r="AE430" s="83"/>
      <c r="AF430" s="84"/>
      <c r="AG430" s="85"/>
      <c r="AH430" s="83"/>
      <c r="AI430" s="84"/>
      <c r="AJ430" s="84"/>
      <c r="AK430" s="85"/>
      <c r="AL430" s="83"/>
      <c r="AM430" s="84"/>
      <c r="AN430" s="85"/>
      <c r="AO430" s="60"/>
      <c r="AP430" s="61"/>
      <c r="AQ430" s="77">
        <f t="shared" si="13"/>
        <v>0</v>
      </c>
      <c r="AR430" s="37"/>
      <c r="AS430" s="78">
        <f t="shared" si="14"/>
        <v>0</v>
      </c>
      <c r="AT430" s="37"/>
      <c r="AU430" s="37"/>
      <c r="AV430" s="37"/>
      <c r="AW430" s="37"/>
      <c r="AX430" s="37"/>
    </row>
    <row r="431" spans="1:50" ht="20.100000000000001" customHeight="1" x14ac:dyDescent="0.25">
      <c r="A431" s="37"/>
      <c r="B431" s="58"/>
      <c r="C431" s="37"/>
      <c r="D431" s="97"/>
      <c r="E431" s="98"/>
      <c r="F431" s="101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3"/>
      <c r="T431" s="83"/>
      <c r="U431" s="85"/>
      <c r="V431" s="83"/>
      <c r="W431" s="85"/>
      <c r="X431" s="97"/>
      <c r="Y431" s="100"/>
      <c r="Z431" s="100"/>
      <c r="AA431" s="100"/>
      <c r="AB431" s="100"/>
      <c r="AC431" s="100"/>
      <c r="AD431" s="98"/>
      <c r="AE431" s="83"/>
      <c r="AF431" s="84"/>
      <c r="AG431" s="85"/>
      <c r="AH431" s="83"/>
      <c r="AI431" s="84"/>
      <c r="AJ431" s="84"/>
      <c r="AK431" s="85"/>
      <c r="AL431" s="83"/>
      <c r="AM431" s="84"/>
      <c r="AN431" s="85"/>
      <c r="AO431" s="60"/>
      <c r="AP431" s="61"/>
      <c r="AQ431" s="77">
        <f t="shared" si="13"/>
        <v>0</v>
      </c>
      <c r="AR431" s="37"/>
      <c r="AS431" s="78">
        <f t="shared" si="14"/>
        <v>0</v>
      </c>
      <c r="AT431" s="37"/>
      <c r="AU431" s="37"/>
      <c r="AV431" s="37"/>
      <c r="AW431" s="37"/>
      <c r="AX431" s="37"/>
    </row>
    <row r="432" spans="1:50" ht="20.100000000000001" customHeight="1" x14ac:dyDescent="0.25">
      <c r="A432" s="37"/>
      <c r="B432" s="58"/>
      <c r="C432" s="37"/>
      <c r="D432" s="97"/>
      <c r="E432" s="98"/>
      <c r="F432" s="101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3"/>
      <c r="T432" s="83"/>
      <c r="U432" s="85"/>
      <c r="V432" s="83"/>
      <c r="W432" s="85"/>
      <c r="X432" s="97"/>
      <c r="Y432" s="100"/>
      <c r="Z432" s="100"/>
      <c r="AA432" s="100"/>
      <c r="AB432" s="100"/>
      <c r="AC432" s="100"/>
      <c r="AD432" s="98"/>
      <c r="AE432" s="83"/>
      <c r="AF432" s="84"/>
      <c r="AG432" s="85"/>
      <c r="AH432" s="83"/>
      <c r="AI432" s="84"/>
      <c r="AJ432" s="84"/>
      <c r="AK432" s="85"/>
      <c r="AL432" s="83"/>
      <c r="AM432" s="84"/>
      <c r="AN432" s="85"/>
      <c r="AO432" s="60"/>
      <c r="AP432" s="61"/>
      <c r="AQ432" s="77">
        <f t="shared" si="13"/>
        <v>0</v>
      </c>
      <c r="AR432" s="37"/>
      <c r="AS432" s="78">
        <f t="shared" si="14"/>
        <v>0</v>
      </c>
      <c r="AT432" s="37"/>
      <c r="AU432" s="37"/>
      <c r="AV432" s="37"/>
      <c r="AW432" s="37"/>
      <c r="AX432" s="37"/>
    </row>
    <row r="433" spans="1:50" ht="20.100000000000001" customHeight="1" x14ac:dyDescent="0.25">
      <c r="A433" s="37"/>
      <c r="B433" s="58"/>
      <c r="C433" s="37"/>
      <c r="D433" s="97"/>
      <c r="E433" s="98"/>
      <c r="F433" s="101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3"/>
      <c r="T433" s="83"/>
      <c r="U433" s="85"/>
      <c r="V433" s="83"/>
      <c r="W433" s="85"/>
      <c r="X433" s="97"/>
      <c r="Y433" s="100"/>
      <c r="Z433" s="100"/>
      <c r="AA433" s="100"/>
      <c r="AB433" s="100"/>
      <c r="AC433" s="100"/>
      <c r="AD433" s="98"/>
      <c r="AE433" s="83"/>
      <c r="AF433" s="84"/>
      <c r="AG433" s="85"/>
      <c r="AH433" s="83"/>
      <c r="AI433" s="84"/>
      <c r="AJ433" s="84"/>
      <c r="AK433" s="85"/>
      <c r="AL433" s="83"/>
      <c r="AM433" s="84"/>
      <c r="AN433" s="85"/>
      <c r="AO433" s="60"/>
      <c r="AP433" s="61"/>
      <c r="AQ433" s="77">
        <f t="shared" si="13"/>
        <v>0</v>
      </c>
      <c r="AR433" s="37"/>
      <c r="AS433" s="78">
        <f t="shared" si="14"/>
        <v>0</v>
      </c>
      <c r="AT433" s="37"/>
      <c r="AU433" s="37"/>
      <c r="AV433" s="37"/>
      <c r="AW433" s="37"/>
      <c r="AX433" s="37"/>
    </row>
    <row r="434" spans="1:50" ht="20.100000000000001" customHeight="1" x14ac:dyDescent="0.25">
      <c r="A434" s="37"/>
      <c r="B434" s="58"/>
      <c r="C434" s="37"/>
      <c r="D434" s="97"/>
      <c r="E434" s="98"/>
      <c r="F434" s="101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3"/>
      <c r="T434" s="83"/>
      <c r="U434" s="85"/>
      <c r="V434" s="83"/>
      <c r="W434" s="85"/>
      <c r="X434" s="97"/>
      <c r="Y434" s="100"/>
      <c r="Z434" s="100"/>
      <c r="AA434" s="100"/>
      <c r="AB434" s="100"/>
      <c r="AC434" s="100"/>
      <c r="AD434" s="98"/>
      <c r="AE434" s="83"/>
      <c r="AF434" s="84"/>
      <c r="AG434" s="85"/>
      <c r="AH434" s="83"/>
      <c r="AI434" s="84"/>
      <c r="AJ434" s="84"/>
      <c r="AK434" s="85"/>
      <c r="AL434" s="83"/>
      <c r="AM434" s="84"/>
      <c r="AN434" s="85"/>
      <c r="AO434" s="60"/>
      <c r="AP434" s="61"/>
      <c r="AQ434" s="77">
        <f t="shared" si="13"/>
        <v>0</v>
      </c>
      <c r="AR434" s="37"/>
      <c r="AS434" s="78">
        <f t="shared" si="14"/>
        <v>0</v>
      </c>
      <c r="AT434" s="37"/>
      <c r="AU434" s="37"/>
      <c r="AV434" s="37"/>
      <c r="AW434" s="37"/>
      <c r="AX434" s="37"/>
    </row>
    <row r="435" spans="1:50" ht="20.100000000000001" customHeight="1" x14ac:dyDescent="0.25">
      <c r="A435" s="37"/>
      <c r="B435" s="58"/>
      <c r="C435" s="37"/>
      <c r="D435" s="97"/>
      <c r="E435" s="98"/>
      <c r="F435" s="101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3"/>
      <c r="T435" s="83"/>
      <c r="U435" s="85"/>
      <c r="V435" s="83"/>
      <c r="W435" s="85"/>
      <c r="X435" s="97"/>
      <c r="Y435" s="100"/>
      <c r="Z435" s="100"/>
      <c r="AA435" s="100"/>
      <c r="AB435" s="100"/>
      <c r="AC435" s="100"/>
      <c r="AD435" s="98"/>
      <c r="AE435" s="83"/>
      <c r="AF435" s="84"/>
      <c r="AG435" s="85"/>
      <c r="AH435" s="83"/>
      <c r="AI435" s="84"/>
      <c r="AJ435" s="84"/>
      <c r="AK435" s="85"/>
      <c r="AL435" s="83"/>
      <c r="AM435" s="84"/>
      <c r="AN435" s="85"/>
      <c r="AO435" s="60"/>
      <c r="AP435" s="61"/>
      <c r="AQ435" s="77">
        <f t="shared" si="13"/>
        <v>0</v>
      </c>
      <c r="AR435" s="37"/>
      <c r="AS435" s="78">
        <f t="shared" si="14"/>
        <v>0</v>
      </c>
      <c r="AT435" s="37"/>
      <c r="AU435" s="37"/>
      <c r="AV435" s="37"/>
      <c r="AW435" s="37"/>
      <c r="AX435" s="37"/>
    </row>
    <row r="436" spans="1:50" ht="20.100000000000001" customHeight="1" x14ac:dyDescent="0.25">
      <c r="A436" s="37"/>
      <c r="B436" s="58"/>
      <c r="C436" s="37"/>
      <c r="D436" s="97"/>
      <c r="E436" s="98"/>
      <c r="F436" s="101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3"/>
      <c r="T436" s="83"/>
      <c r="U436" s="85"/>
      <c r="V436" s="83"/>
      <c r="W436" s="85"/>
      <c r="X436" s="97"/>
      <c r="Y436" s="100"/>
      <c r="Z436" s="100"/>
      <c r="AA436" s="100"/>
      <c r="AB436" s="100"/>
      <c r="AC436" s="100"/>
      <c r="AD436" s="98"/>
      <c r="AE436" s="83"/>
      <c r="AF436" s="84"/>
      <c r="AG436" s="85"/>
      <c r="AH436" s="83"/>
      <c r="AI436" s="84"/>
      <c r="AJ436" s="84"/>
      <c r="AK436" s="85"/>
      <c r="AL436" s="83"/>
      <c r="AM436" s="84"/>
      <c r="AN436" s="85"/>
      <c r="AO436" s="60"/>
      <c r="AP436" s="61"/>
      <c r="AQ436" s="77">
        <f t="shared" si="13"/>
        <v>0</v>
      </c>
      <c r="AR436" s="37"/>
      <c r="AS436" s="78">
        <f t="shared" si="14"/>
        <v>0</v>
      </c>
      <c r="AT436" s="37"/>
      <c r="AU436" s="37"/>
      <c r="AV436" s="37"/>
      <c r="AW436" s="37"/>
      <c r="AX436" s="37"/>
    </row>
    <row r="437" spans="1:50" ht="20.100000000000001" customHeight="1" x14ac:dyDescent="0.25">
      <c r="A437" s="37"/>
      <c r="B437" s="58"/>
      <c r="C437" s="37"/>
      <c r="D437" s="97"/>
      <c r="E437" s="98"/>
      <c r="F437" s="101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3"/>
      <c r="T437" s="83"/>
      <c r="U437" s="85"/>
      <c r="V437" s="83"/>
      <c r="W437" s="85"/>
      <c r="X437" s="97"/>
      <c r="Y437" s="100"/>
      <c r="Z437" s="100"/>
      <c r="AA437" s="100"/>
      <c r="AB437" s="100"/>
      <c r="AC437" s="100"/>
      <c r="AD437" s="98"/>
      <c r="AE437" s="83"/>
      <c r="AF437" s="84"/>
      <c r="AG437" s="85"/>
      <c r="AH437" s="83"/>
      <c r="AI437" s="84"/>
      <c r="AJ437" s="84"/>
      <c r="AK437" s="85"/>
      <c r="AL437" s="83"/>
      <c r="AM437" s="84"/>
      <c r="AN437" s="85"/>
      <c r="AO437" s="60"/>
      <c r="AP437" s="61"/>
      <c r="AQ437" s="77">
        <f t="shared" si="13"/>
        <v>0</v>
      </c>
      <c r="AR437" s="37"/>
      <c r="AS437" s="78">
        <f t="shared" si="14"/>
        <v>0</v>
      </c>
      <c r="AT437" s="37"/>
      <c r="AU437" s="37"/>
      <c r="AV437" s="37"/>
      <c r="AW437" s="37"/>
      <c r="AX437" s="37"/>
    </row>
    <row r="438" spans="1:50" ht="20.100000000000001" customHeight="1" x14ac:dyDescent="0.25">
      <c r="A438" s="37"/>
      <c r="B438" s="58"/>
      <c r="C438" s="37"/>
      <c r="D438" s="97"/>
      <c r="E438" s="98"/>
      <c r="F438" s="101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3"/>
      <c r="T438" s="83"/>
      <c r="U438" s="85"/>
      <c r="V438" s="83"/>
      <c r="W438" s="85"/>
      <c r="X438" s="97"/>
      <c r="Y438" s="100"/>
      <c r="Z438" s="100"/>
      <c r="AA438" s="100"/>
      <c r="AB438" s="100"/>
      <c r="AC438" s="100"/>
      <c r="AD438" s="98"/>
      <c r="AE438" s="83"/>
      <c r="AF438" s="84"/>
      <c r="AG438" s="85"/>
      <c r="AH438" s="83"/>
      <c r="AI438" s="84"/>
      <c r="AJ438" s="84"/>
      <c r="AK438" s="85"/>
      <c r="AL438" s="83"/>
      <c r="AM438" s="84"/>
      <c r="AN438" s="85"/>
      <c r="AO438" s="60"/>
      <c r="AP438" s="61"/>
      <c r="AQ438" s="77">
        <f t="shared" si="13"/>
        <v>0</v>
      </c>
      <c r="AR438" s="37"/>
      <c r="AS438" s="78">
        <f t="shared" si="14"/>
        <v>0</v>
      </c>
      <c r="AT438" s="37"/>
      <c r="AU438" s="37"/>
      <c r="AV438" s="37"/>
      <c r="AW438" s="37"/>
      <c r="AX438" s="37"/>
    </row>
    <row r="439" spans="1:50" ht="20.100000000000001" customHeight="1" x14ac:dyDescent="0.25">
      <c r="A439" s="37"/>
      <c r="B439" s="58"/>
      <c r="C439" s="37"/>
      <c r="D439" s="97"/>
      <c r="E439" s="98"/>
      <c r="F439" s="101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3"/>
      <c r="T439" s="83"/>
      <c r="U439" s="85"/>
      <c r="V439" s="83"/>
      <c r="W439" s="85"/>
      <c r="X439" s="97"/>
      <c r="Y439" s="100"/>
      <c r="Z439" s="100"/>
      <c r="AA439" s="100"/>
      <c r="AB439" s="100"/>
      <c r="AC439" s="100"/>
      <c r="AD439" s="98"/>
      <c r="AE439" s="83"/>
      <c r="AF439" s="84"/>
      <c r="AG439" s="85"/>
      <c r="AH439" s="83"/>
      <c r="AI439" s="84"/>
      <c r="AJ439" s="84"/>
      <c r="AK439" s="85"/>
      <c r="AL439" s="83"/>
      <c r="AM439" s="84"/>
      <c r="AN439" s="85"/>
      <c r="AO439" s="60"/>
      <c r="AP439" s="61"/>
      <c r="AQ439" s="77">
        <f t="shared" si="13"/>
        <v>0</v>
      </c>
      <c r="AR439" s="37"/>
      <c r="AS439" s="78">
        <f t="shared" si="14"/>
        <v>0</v>
      </c>
      <c r="AT439" s="37"/>
      <c r="AU439" s="37"/>
      <c r="AV439" s="37"/>
      <c r="AW439" s="37"/>
      <c r="AX439" s="37"/>
    </row>
    <row r="440" spans="1:50" ht="20.100000000000001" customHeight="1" x14ac:dyDescent="0.25">
      <c r="A440" s="37"/>
      <c r="B440" s="58"/>
      <c r="C440" s="37"/>
      <c r="D440" s="97"/>
      <c r="E440" s="98"/>
      <c r="F440" s="101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3"/>
      <c r="T440" s="83"/>
      <c r="U440" s="85"/>
      <c r="V440" s="83"/>
      <c r="W440" s="85"/>
      <c r="X440" s="97"/>
      <c r="Y440" s="100"/>
      <c r="Z440" s="100"/>
      <c r="AA440" s="100"/>
      <c r="AB440" s="100"/>
      <c r="AC440" s="100"/>
      <c r="AD440" s="98"/>
      <c r="AE440" s="83"/>
      <c r="AF440" s="84"/>
      <c r="AG440" s="85"/>
      <c r="AH440" s="83"/>
      <c r="AI440" s="84"/>
      <c r="AJ440" s="84"/>
      <c r="AK440" s="85"/>
      <c r="AL440" s="83"/>
      <c r="AM440" s="84"/>
      <c r="AN440" s="85"/>
      <c r="AO440" s="60"/>
      <c r="AP440" s="61"/>
      <c r="AQ440" s="77">
        <f t="shared" si="13"/>
        <v>0</v>
      </c>
      <c r="AR440" s="37"/>
      <c r="AS440" s="78">
        <f t="shared" si="14"/>
        <v>0</v>
      </c>
      <c r="AT440" s="37"/>
      <c r="AU440" s="37"/>
      <c r="AV440" s="37"/>
      <c r="AW440" s="37"/>
      <c r="AX440" s="37"/>
    </row>
    <row r="441" spans="1:50" ht="20.100000000000001" customHeight="1" x14ac:dyDescent="0.25">
      <c r="A441" s="37"/>
      <c r="B441" s="58"/>
      <c r="C441" s="37"/>
      <c r="D441" s="97"/>
      <c r="E441" s="98"/>
      <c r="F441" s="101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3"/>
      <c r="T441" s="83"/>
      <c r="U441" s="85"/>
      <c r="V441" s="83"/>
      <c r="W441" s="85"/>
      <c r="X441" s="97"/>
      <c r="Y441" s="100"/>
      <c r="Z441" s="100"/>
      <c r="AA441" s="100"/>
      <c r="AB441" s="100"/>
      <c r="AC441" s="100"/>
      <c r="AD441" s="98"/>
      <c r="AE441" s="83"/>
      <c r="AF441" s="84"/>
      <c r="AG441" s="85"/>
      <c r="AH441" s="83"/>
      <c r="AI441" s="84"/>
      <c r="AJ441" s="84"/>
      <c r="AK441" s="85"/>
      <c r="AL441" s="83"/>
      <c r="AM441" s="84"/>
      <c r="AN441" s="85"/>
      <c r="AO441" s="60"/>
      <c r="AP441" s="61"/>
      <c r="AQ441" s="77">
        <f t="shared" si="13"/>
        <v>0</v>
      </c>
      <c r="AR441" s="37"/>
      <c r="AS441" s="78">
        <f t="shared" si="14"/>
        <v>0</v>
      </c>
      <c r="AT441" s="37"/>
      <c r="AU441" s="37"/>
      <c r="AV441" s="37"/>
      <c r="AW441" s="37"/>
      <c r="AX441" s="37"/>
    </row>
    <row r="442" spans="1:50" ht="20.100000000000001" customHeight="1" x14ac:dyDescent="0.25">
      <c r="A442" s="37"/>
      <c r="B442" s="58"/>
      <c r="C442" s="37"/>
      <c r="D442" s="97"/>
      <c r="E442" s="98"/>
      <c r="F442" s="101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3"/>
      <c r="T442" s="83"/>
      <c r="U442" s="85"/>
      <c r="V442" s="83"/>
      <c r="W442" s="85"/>
      <c r="X442" s="97"/>
      <c r="Y442" s="100"/>
      <c r="Z442" s="100"/>
      <c r="AA442" s="100"/>
      <c r="AB442" s="100"/>
      <c r="AC442" s="100"/>
      <c r="AD442" s="98"/>
      <c r="AE442" s="83"/>
      <c r="AF442" s="84"/>
      <c r="AG442" s="85"/>
      <c r="AH442" s="83"/>
      <c r="AI442" s="84"/>
      <c r="AJ442" s="84"/>
      <c r="AK442" s="85"/>
      <c r="AL442" s="83"/>
      <c r="AM442" s="84"/>
      <c r="AN442" s="85"/>
      <c r="AO442" s="60"/>
      <c r="AP442" s="61"/>
      <c r="AQ442" s="77">
        <f t="shared" si="13"/>
        <v>0</v>
      </c>
      <c r="AR442" s="37"/>
      <c r="AS442" s="78">
        <f t="shared" si="14"/>
        <v>0</v>
      </c>
      <c r="AT442" s="37"/>
      <c r="AU442" s="37"/>
      <c r="AV442" s="37"/>
      <c r="AW442" s="37"/>
      <c r="AX442" s="37"/>
    </row>
    <row r="443" spans="1:50" ht="20.100000000000001" customHeight="1" x14ac:dyDescent="0.25">
      <c r="A443" s="37"/>
      <c r="B443" s="58"/>
      <c r="C443" s="37"/>
      <c r="D443" s="97"/>
      <c r="E443" s="98"/>
      <c r="F443" s="101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3"/>
      <c r="T443" s="83"/>
      <c r="U443" s="85"/>
      <c r="V443" s="83"/>
      <c r="W443" s="85"/>
      <c r="X443" s="97"/>
      <c r="Y443" s="100"/>
      <c r="Z443" s="100"/>
      <c r="AA443" s="100"/>
      <c r="AB443" s="100"/>
      <c r="AC443" s="100"/>
      <c r="AD443" s="98"/>
      <c r="AE443" s="83"/>
      <c r="AF443" s="84"/>
      <c r="AG443" s="85"/>
      <c r="AH443" s="83"/>
      <c r="AI443" s="84"/>
      <c r="AJ443" s="84"/>
      <c r="AK443" s="85"/>
      <c r="AL443" s="83"/>
      <c r="AM443" s="84"/>
      <c r="AN443" s="85"/>
      <c r="AO443" s="60"/>
      <c r="AP443" s="61"/>
      <c r="AQ443" s="77">
        <f t="shared" si="13"/>
        <v>0</v>
      </c>
      <c r="AR443" s="37"/>
      <c r="AS443" s="78">
        <f t="shared" si="14"/>
        <v>0</v>
      </c>
      <c r="AT443" s="37"/>
      <c r="AU443" s="37"/>
      <c r="AV443" s="37"/>
      <c r="AW443" s="37"/>
      <c r="AX443" s="37"/>
    </row>
    <row r="444" spans="1:50" ht="20.100000000000001" customHeight="1" x14ac:dyDescent="0.25">
      <c r="A444" s="37"/>
      <c r="B444" s="58"/>
      <c r="C444" s="37"/>
      <c r="D444" s="97"/>
      <c r="E444" s="98"/>
      <c r="F444" s="101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3"/>
      <c r="T444" s="83"/>
      <c r="U444" s="85"/>
      <c r="V444" s="83"/>
      <c r="W444" s="85"/>
      <c r="X444" s="97"/>
      <c r="Y444" s="100"/>
      <c r="Z444" s="100"/>
      <c r="AA444" s="100"/>
      <c r="AB444" s="100"/>
      <c r="AC444" s="100"/>
      <c r="AD444" s="98"/>
      <c r="AE444" s="83"/>
      <c r="AF444" s="84"/>
      <c r="AG444" s="85"/>
      <c r="AH444" s="83"/>
      <c r="AI444" s="84"/>
      <c r="AJ444" s="84"/>
      <c r="AK444" s="85"/>
      <c r="AL444" s="83"/>
      <c r="AM444" s="84"/>
      <c r="AN444" s="85"/>
      <c r="AO444" s="60"/>
      <c r="AP444" s="61"/>
      <c r="AQ444" s="77">
        <f t="shared" si="13"/>
        <v>0</v>
      </c>
      <c r="AR444" s="37"/>
      <c r="AS444" s="78">
        <f t="shared" si="14"/>
        <v>0</v>
      </c>
      <c r="AT444" s="37"/>
      <c r="AU444" s="37"/>
      <c r="AV444" s="37"/>
      <c r="AW444" s="37"/>
      <c r="AX444" s="37"/>
    </row>
    <row r="445" spans="1:50" ht="20.100000000000001" customHeight="1" x14ac:dyDescent="0.25">
      <c r="A445" s="37"/>
      <c r="B445" s="58"/>
      <c r="C445" s="37"/>
      <c r="D445" s="97"/>
      <c r="E445" s="98"/>
      <c r="F445" s="101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3"/>
      <c r="T445" s="83"/>
      <c r="U445" s="85"/>
      <c r="V445" s="83"/>
      <c r="W445" s="85"/>
      <c r="X445" s="97"/>
      <c r="Y445" s="100"/>
      <c r="Z445" s="100"/>
      <c r="AA445" s="100"/>
      <c r="AB445" s="100"/>
      <c r="AC445" s="100"/>
      <c r="AD445" s="98"/>
      <c r="AE445" s="83"/>
      <c r="AF445" s="84"/>
      <c r="AG445" s="85"/>
      <c r="AH445" s="83"/>
      <c r="AI445" s="84"/>
      <c r="AJ445" s="84"/>
      <c r="AK445" s="85"/>
      <c r="AL445" s="83"/>
      <c r="AM445" s="84"/>
      <c r="AN445" s="85"/>
      <c r="AO445" s="60"/>
      <c r="AP445" s="61"/>
      <c r="AQ445" s="77">
        <f t="shared" si="13"/>
        <v>0</v>
      </c>
      <c r="AR445" s="37"/>
      <c r="AS445" s="78">
        <f t="shared" si="14"/>
        <v>0</v>
      </c>
      <c r="AT445" s="37"/>
      <c r="AU445" s="37"/>
      <c r="AV445" s="37"/>
      <c r="AW445" s="37"/>
      <c r="AX445" s="37"/>
    </row>
    <row r="446" spans="1:50" ht="20.100000000000001" customHeight="1" x14ac:dyDescent="0.25">
      <c r="A446" s="37"/>
      <c r="B446" s="58"/>
      <c r="C446" s="37"/>
      <c r="D446" s="97"/>
      <c r="E446" s="98"/>
      <c r="F446" s="101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3"/>
      <c r="T446" s="83"/>
      <c r="U446" s="85"/>
      <c r="V446" s="83"/>
      <c r="W446" s="85"/>
      <c r="X446" s="97"/>
      <c r="Y446" s="100"/>
      <c r="Z446" s="100"/>
      <c r="AA446" s="100"/>
      <c r="AB446" s="100"/>
      <c r="AC446" s="100"/>
      <c r="AD446" s="98"/>
      <c r="AE446" s="83"/>
      <c r="AF446" s="84"/>
      <c r="AG446" s="85"/>
      <c r="AH446" s="83"/>
      <c r="AI446" s="84"/>
      <c r="AJ446" s="84"/>
      <c r="AK446" s="85"/>
      <c r="AL446" s="83"/>
      <c r="AM446" s="84"/>
      <c r="AN446" s="85"/>
      <c r="AO446" s="60"/>
      <c r="AP446" s="61"/>
      <c r="AQ446" s="77">
        <f t="shared" si="13"/>
        <v>0</v>
      </c>
      <c r="AR446" s="37"/>
      <c r="AS446" s="78">
        <f t="shared" si="14"/>
        <v>0</v>
      </c>
      <c r="AT446" s="37"/>
      <c r="AU446" s="37"/>
      <c r="AV446" s="37"/>
      <c r="AW446" s="37"/>
      <c r="AX446" s="37"/>
    </row>
    <row r="447" spans="1:50" ht="20.100000000000001" customHeight="1" x14ac:dyDescent="0.25">
      <c r="A447" s="37"/>
      <c r="B447" s="58"/>
      <c r="C447" s="37"/>
      <c r="D447" s="97"/>
      <c r="E447" s="98"/>
      <c r="F447" s="101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3"/>
      <c r="T447" s="83"/>
      <c r="U447" s="85"/>
      <c r="V447" s="83"/>
      <c r="W447" s="85"/>
      <c r="X447" s="97"/>
      <c r="Y447" s="100"/>
      <c r="Z447" s="100"/>
      <c r="AA447" s="100"/>
      <c r="AB447" s="100"/>
      <c r="AC447" s="100"/>
      <c r="AD447" s="98"/>
      <c r="AE447" s="83"/>
      <c r="AF447" s="84"/>
      <c r="AG447" s="85"/>
      <c r="AH447" s="83"/>
      <c r="AI447" s="84"/>
      <c r="AJ447" s="84"/>
      <c r="AK447" s="85"/>
      <c r="AL447" s="83"/>
      <c r="AM447" s="84"/>
      <c r="AN447" s="85"/>
      <c r="AO447" s="60"/>
      <c r="AP447" s="61"/>
      <c r="AQ447" s="77">
        <f t="shared" si="13"/>
        <v>0</v>
      </c>
      <c r="AR447" s="37"/>
      <c r="AS447" s="78">
        <f t="shared" si="14"/>
        <v>0</v>
      </c>
      <c r="AT447" s="37"/>
      <c r="AU447" s="37"/>
      <c r="AV447" s="37"/>
      <c r="AW447" s="37"/>
      <c r="AX447" s="37"/>
    </row>
    <row r="448" spans="1:50" ht="20.100000000000001" customHeight="1" x14ac:dyDescent="0.25">
      <c r="A448" s="37"/>
      <c r="B448" s="58"/>
      <c r="C448" s="37"/>
      <c r="D448" s="97"/>
      <c r="E448" s="98"/>
      <c r="F448" s="101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3"/>
      <c r="T448" s="83"/>
      <c r="U448" s="85"/>
      <c r="V448" s="83"/>
      <c r="W448" s="85"/>
      <c r="X448" s="97"/>
      <c r="Y448" s="100"/>
      <c r="Z448" s="100"/>
      <c r="AA448" s="100"/>
      <c r="AB448" s="100"/>
      <c r="AC448" s="100"/>
      <c r="AD448" s="98"/>
      <c r="AE448" s="83"/>
      <c r="AF448" s="84"/>
      <c r="AG448" s="85"/>
      <c r="AH448" s="83"/>
      <c r="AI448" s="84"/>
      <c r="AJ448" s="84"/>
      <c r="AK448" s="85"/>
      <c r="AL448" s="83"/>
      <c r="AM448" s="84"/>
      <c r="AN448" s="85"/>
      <c r="AO448" s="60"/>
      <c r="AP448" s="61"/>
      <c r="AQ448" s="77">
        <f t="shared" si="13"/>
        <v>0</v>
      </c>
      <c r="AR448" s="37"/>
      <c r="AS448" s="78">
        <f t="shared" si="14"/>
        <v>0</v>
      </c>
      <c r="AT448" s="37"/>
      <c r="AU448" s="37"/>
      <c r="AV448" s="37"/>
      <c r="AW448" s="37"/>
      <c r="AX448" s="37"/>
    </row>
    <row r="449" spans="1:50" ht="20.100000000000001" customHeight="1" x14ac:dyDescent="0.25">
      <c r="A449" s="37"/>
      <c r="B449" s="58"/>
      <c r="C449" s="37"/>
      <c r="D449" s="97"/>
      <c r="E449" s="98"/>
      <c r="F449" s="101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3"/>
      <c r="T449" s="83"/>
      <c r="U449" s="85"/>
      <c r="V449" s="83"/>
      <c r="W449" s="85"/>
      <c r="X449" s="97"/>
      <c r="Y449" s="100"/>
      <c r="Z449" s="100"/>
      <c r="AA449" s="100"/>
      <c r="AB449" s="100"/>
      <c r="AC449" s="100"/>
      <c r="AD449" s="98"/>
      <c r="AE449" s="83"/>
      <c r="AF449" s="84"/>
      <c r="AG449" s="85"/>
      <c r="AH449" s="83"/>
      <c r="AI449" s="84"/>
      <c r="AJ449" s="84"/>
      <c r="AK449" s="85"/>
      <c r="AL449" s="83"/>
      <c r="AM449" s="84"/>
      <c r="AN449" s="85"/>
      <c r="AO449" s="60"/>
      <c r="AP449" s="61"/>
      <c r="AQ449" s="77">
        <f t="shared" si="13"/>
        <v>0</v>
      </c>
      <c r="AR449" s="37"/>
      <c r="AS449" s="78">
        <f t="shared" si="14"/>
        <v>0</v>
      </c>
      <c r="AT449" s="37"/>
      <c r="AU449" s="37"/>
      <c r="AV449" s="37"/>
      <c r="AW449" s="37"/>
      <c r="AX449" s="37"/>
    </row>
    <row r="450" spans="1:50" ht="20.100000000000001" customHeight="1" x14ac:dyDescent="0.25">
      <c r="A450" s="37"/>
      <c r="B450" s="58"/>
      <c r="C450" s="37"/>
      <c r="D450" s="97"/>
      <c r="E450" s="98"/>
      <c r="F450" s="101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3"/>
      <c r="T450" s="83"/>
      <c r="U450" s="85"/>
      <c r="V450" s="83"/>
      <c r="W450" s="85"/>
      <c r="X450" s="97"/>
      <c r="Y450" s="100"/>
      <c r="Z450" s="100"/>
      <c r="AA450" s="100"/>
      <c r="AB450" s="100"/>
      <c r="AC450" s="100"/>
      <c r="AD450" s="98"/>
      <c r="AE450" s="83"/>
      <c r="AF450" s="84"/>
      <c r="AG450" s="85"/>
      <c r="AH450" s="83"/>
      <c r="AI450" s="84"/>
      <c r="AJ450" s="84"/>
      <c r="AK450" s="85"/>
      <c r="AL450" s="83"/>
      <c r="AM450" s="84"/>
      <c r="AN450" s="85"/>
      <c r="AO450" s="60"/>
      <c r="AP450" s="61"/>
      <c r="AQ450" s="77">
        <f t="shared" si="13"/>
        <v>0</v>
      </c>
      <c r="AR450" s="37"/>
      <c r="AS450" s="78">
        <f t="shared" si="14"/>
        <v>0</v>
      </c>
      <c r="AT450" s="37"/>
      <c r="AU450" s="37"/>
      <c r="AV450" s="37"/>
      <c r="AW450" s="37"/>
      <c r="AX450" s="37"/>
    </row>
    <row r="451" spans="1:50" ht="20.100000000000001" customHeight="1" x14ac:dyDescent="0.25">
      <c r="A451" s="37"/>
      <c r="B451" s="58"/>
      <c r="C451" s="37"/>
      <c r="D451" s="97"/>
      <c r="E451" s="98"/>
      <c r="F451" s="101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3"/>
      <c r="T451" s="83"/>
      <c r="U451" s="85"/>
      <c r="V451" s="83"/>
      <c r="W451" s="85"/>
      <c r="X451" s="97"/>
      <c r="Y451" s="100"/>
      <c r="Z451" s="100"/>
      <c r="AA451" s="100"/>
      <c r="AB451" s="100"/>
      <c r="AC451" s="100"/>
      <c r="AD451" s="98"/>
      <c r="AE451" s="83"/>
      <c r="AF451" s="84"/>
      <c r="AG451" s="85"/>
      <c r="AH451" s="83"/>
      <c r="AI451" s="84"/>
      <c r="AJ451" s="84"/>
      <c r="AK451" s="85"/>
      <c r="AL451" s="83"/>
      <c r="AM451" s="84"/>
      <c r="AN451" s="85"/>
      <c r="AO451" s="60"/>
      <c r="AP451" s="61"/>
      <c r="AQ451" s="77">
        <f t="shared" si="13"/>
        <v>0</v>
      </c>
      <c r="AR451" s="37"/>
      <c r="AS451" s="78">
        <f t="shared" si="14"/>
        <v>0</v>
      </c>
      <c r="AT451" s="37"/>
      <c r="AU451" s="37"/>
      <c r="AV451" s="37"/>
      <c r="AW451" s="37"/>
      <c r="AX451" s="37"/>
    </row>
    <row r="452" spans="1:50" ht="20.100000000000001" customHeight="1" x14ac:dyDescent="0.25">
      <c r="A452" s="37"/>
      <c r="B452" s="58"/>
      <c r="C452" s="37"/>
      <c r="D452" s="97"/>
      <c r="E452" s="98"/>
      <c r="F452" s="101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3"/>
      <c r="T452" s="83"/>
      <c r="U452" s="85"/>
      <c r="V452" s="83"/>
      <c r="W452" s="85"/>
      <c r="X452" s="97"/>
      <c r="Y452" s="100"/>
      <c r="Z452" s="100"/>
      <c r="AA452" s="100"/>
      <c r="AB452" s="100"/>
      <c r="AC452" s="100"/>
      <c r="AD452" s="98"/>
      <c r="AE452" s="83"/>
      <c r="AF452" s="84"/>
      <c r="AG452" s="85"/>
      <c r="AH452" s="83"/>
      <c r="AI452" s="84"/>
      <c r="AJ452" s="84"/>
      <c r="AK452" s="85"/>
      <c r="AL452" s="83"/>
      <c r="AM452" s="84"/>
      <c r="AN452" s="85"/>
      <c r="AO452" s="60"/>
      <c r="AP452" s="61"/>
      <c r="AQ452" s="77">
        <f t="shared" si="13"/>
        <v>0</v>
      </c>
      <c r="AR452" s="37"/>
      <c r="AS452" s="78">
        <f t="shared" si="14"/>
        <v>0</v>
      </c>
      <c r="AT452" s="37"/>
      <c r="AU452" s="37"/>
      <c r="AV452" s="37"/>
      <c r="AW452" s="37"/>
      <c r="AX452" s="37"/>
    </row>
    <row r="453" spans="1:50" ht="20.100000000000001" customHeight="1" x14ac:dyDescent="0.25">
      <c r="A453" s="37"/>
      <c r="B453" s="58"/>
      <c r="C453" s="37"/>
      <c r="D453" s="97"/>
      <c r="E453" s="98"/>
      <c r="F453" s="101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3"/>
      <c r="T453" s="83"/>
      <c r="U453" s="85"/>
      <c r="V453" s="83"/>
      <c r="W453" s="85"/>
      <c r="X453" s="97"/>
      <c r="Y453" s="100"/>
      <c r="Z453" s="100"/>
      <c r="AA453" s="100"/>
      <c r="AB453" s="100"/>
      <c r="AC453" s="100"/>
      <c r="AD453" s="98"/>
      <c r="AE453" s="83"/>
      <c r="AF453" s="84"/>
      <c r="AG453" s="85"/>
      <c r="AH453" s="83"/>
      <c r="AI453" s="84"/>
      <c r="AJ453" s="84"/>
      <c r="AK453" s="85"/>
      <c r="AL453" s="83"/>
      <c r="AM453" s="84"/>
      <c r="AN453" s="85"/>
      <c r="AO453" s="60"/>
      <c r="AP453" s="61"/>
      <c r="AQ453" s="77">
        <f t="shared" si="13"/>
        <v>0</v>
      </c>
      <c r="AR453" s="37"/>
      <c r="AS453" s="78">
        <f t="shared" si="14"/>
        <v>0</v>
      </c>
      <c r="AT453" s="37"/>
      <c r="AU453" s="37"/>
      <c r="AV453" s="37"/>
      <c r="AW453" s="37"/>
      <c r="AX453" s="37"/>
    </row>
    <row r="454" spans="1:50" ht="20.100000000000001" customHeight="1" x14ac:dyDescent="0.25">
      <c r="A454" s="37"/>
      <c r="B454" s="58"/>
      <c r="C454" s="37"/>
      <c r="D454" s="97"/>
      <c r="E454" s="98"/>
      <c r="F454" s="101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3"/>
      <c r="T454" s="83"/>
      <c r="U454" s="85"/>
      <c r="V454" s="83"/>
      <c r="W454" s="85"/>
      <c r="X454" s="97"/>
      <c r="Y454" s="100"/>
      <c r="Z454" s="100"/>
      <c r="AA454" s="100"/>
      <c r="AB454" s="100"/>
      <c r="AC454" s="100"/>
      <c r="AD454" s="98"/>
      <c r="AE454" s="83"/>
      <c r="AF454" s="84"/>
      <c r="AG454" s="85"/>
      <c r="AH454" s="83"/>
      <c r="AI454" s="84"/>
      <c r="AJ454" s="84"/>
      <c r="AK454" s="85"/>
      <c r="AL454" s="83"/>
      <c r="AM454" s="84"/>
      <c r="AN454" s="85"/>
      <c r="AO454" s="60"/>
      <c r="AP454" s="61"/>
      <c r="AQ454" s="77">
        <f t="shared" ref="AQ454:AQ517" si="15">AP454-B454</f>
        <v>0</v>
      </c>
      <c r="AR454" s="37"/>
      <c r="AS454" s="78">
        <f t="shared" si="14"/>
        <v>0</v>
      </c>
      <c r="AT454" s="37"/>
      <c r="AU454" s="37"/>
      <c r="AV454" s="37"/>
      <c r="AW454" s="37"/>
      <c r="AX454" s="37"/>
    </row>
    <row r="455" spans="1:50" ht="20.100000000000001" customHeight="1" x14ac:dyDescent="0.25">
      <c r="A455" s="37"/>
      <c r="B455" s="58"/>
      <c r="C455" s="37"/>
      <c r="D455" s="97"/>
      <c r="E455" s="98"/>
      <c r="F455" s="101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3"/>
      <c r="T455" s="83"/>
      <c r="U455" s="85"/>
      <c r="V455" s="83"/>
      <c r="W455" s="85"/>
      <c r="X455" s="97"/>
      <c r="Y455" s="100"/>
      <c r="Z455" s="100"/>
      <c r="AA455" s="100"/>
      <c r="AB455" s="100"/>
      <c r="AC455" s="100"/>
      <c r="AD455" s="98"/>
      <c r="AE455" s="83"/>
      <c r="AF455" s="84"/>
      <c r="AG455" s="85"/>
      <c r="AH455" s="83"/>
      <c r="AI455" s="84"/>
      <c r="AJ455" s="84"/>
      <c r="AK455" s="85"/>
      <c r="AL455" s="83"/>
      <c r="AM455" s="84"/>
      <c r="AN455" s="85"/>
      <c r="AO455" s="60"/>
      <c r="AP455" s="61"/>
      <c r="AQ455" s="77">
        <f t="shared" si="15"/>
        <v>0</v>
      </c>
      <c r="AR455" s="37"/>
      <c r="AS455" s="78">
        <f t="shared" ref="AS455:AS518" si="16">AP455-AR455</f>
        <v>0</v>
      </c>
      <c r="AT455" s="37"/>
      <c r="AU455" s="37"/>
      <c r="AV455" s="37"/>
      <c r="AW455" s="37"/>
      <c r="AX455" s="37"/>
    </row>
    <row r="456" spans="1:50" ht="20.100000000000001" customHeight="1" x14ac:dyDescent="0.25">
      <c r="A456" s="37"/>
      <c r="B456" s="58"/>
      <c r="C456" s="37"/>
      <c r="D456" s="97"/>
      <c r="E456" s="98"/>
      <c r="F456" s="101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3"/>
      <c r="T456" s="83"/>
      <c r="U456" s="85"/>
      <c r="V456" s="83"/>
      <c r="W456" s="85"/>
      <c r="X456" s="97"/>
      <c r="Y456" s="100"/>
      <c r="Z456" s="100"/>
      <c r="AA456" s="100"/>
      <c r="AB456" s="100"/>
      <c r="AC456" s="100"/>
      <c r="AD456" s="98"/>
      <c r="AE456" s="83"/>
      <c r="AF456" s="84"/>
      <c r="AG456" s="85"/>
      <c r="AH456" s="83"/>
      <c r="AI456" s="84"/>
      <c r="AJ456" s="84"/>
      <c r="AK456" s="85"/>
      <c r="AL456" s="83"/>
      <c r="AM456" s="84"/>
      <c r="AN456" s="85"/>
      <c r="AO456" s="60"/>
      <c r="AP456" s="61"/>
      <c r="AQ456" s="77">
        <f t="shared" si="15"/>
        <v>0</v>
      </c>
      <c r="AR456" s="37"/>
      <c r="AS456" s="78">
        <f t="shared" si="16"/>
        <v>0</v>
      </c>
      <c r="AT456" s="37"/>
      <c r="AU456" s="37"/>
      <c r="AV456" s="37"/>
      <c r="AW456" s="37"/>
      <c r="AX456" s="37"/>
    </row>
    <row r="457" spans="1:50" ht="20.100000000000001" customHeight="1" x14ac:dyDescent="0.25">
      <c r="A457" s="37"/>
      <c r="B457" s="58"/>
      <c r="C457" s="37"/>
      <c r="D457" s="97"/>
      <c r="E457" s="98"/>
      <c r="F457" s="101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3"/>
      <c r="T457" s="83"/>
      <c r="U457" s="85"/>
      <c r="V457" s="83"/>
      <c r="W457" s="85"/>
      <c r="X457" s="97"/>
      <c r="Y457" s="100"/>
      <c r="Z457" s="100"/>
      <c r="AA457" s="100"/>
      <c r="AB457" s="100"/>
      <c r="AC457" s="100"/>
      <c r="AD457" s="98"/>
      <c r="AE457" s="83"/>
      <c r="AF457" s="84"/>
      <c r="AG457" s="85"/>
      <c r="AH457" s="83"/>
      <c r="AI457" s="84"/>
      <c r="AJ457" s="84"/>
      <c r="AK457" s="85"/>
      <c r="AL457" s="83"/>
      <c r="AM457" s="84"/>
      <c r="AN457" s="85"/>
      <c r="AO457" s="60"/>
      <c r="AP457" s="61"/>
      <c r="AQ457" s="77">
        <f t="shared" si="15"/>
        <v>0</v>
      </c>
      <c r="AR457" s="37"/>
      <c r="AS457" s="78">
        <f t="shared" si="16"/>
        <v>0</v>
      </c>
      <c r="AT457" s="37"/>
      <c r="AU457" s="37"/>
      <c r="AV457" s="37"/>
      <c r="AW457" s="37"/>
      <c r="AX457" s="37"/>
    </row>
    <row r="458" spans="1:50" ht="20.100000000000001" customHeight="1" x14ac:dyDescent="0.25">
      <c r="A458" s="37"/>
      <c r="B458" s="58"/>
      <c r="C458" s="37"/>
      <c r="D458" s="97"/>
      <c r="E458" s="98"/>
      <c r="F458" s="101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3"/>
      <c r="T458" s="83"/>
      <c r="U458" s="85"/>
      <c r="V458" s="83"/>
      <c r="W458" s="85"/>
      <c r="X458" s="97"/>
      <c r="Y458" s="100"/>
      <c r="Z458" s="100"/>
      <c r="AA458" s="100"/>
      <c r="AB458" s="100"/>
      <c r="AC458" s="100"/>
      <c r="AD458" s="98"/>
      <c r="AE458" s="83"/>
      <c r="AF458" s="84"/>
      <c r="AG458" s="85"/>
      <c r="AH458" s="83"/>
      <c r="AI458" s="84"/>
      <c r="AJ458" s="84"/>
      <c r="AK458" s="85"/>
      <c r="AL458" s="83"/>
      <c r="AM458" s="84"/>
      <c r="AN458" s="85"/>
      <c r="AO458" s="60"/>
      <c r="AP458" s="61"/>
      <c r="AQ458" s="77">
        <f t="shared" si="15"/>
        <v>0</v>
      </c>
      <c r="AR458" s="37"/>
      <c r="AS458" s="78">
        <f t="shared" si="16"/>
        <v>0</v>
      </c>
      <c r="AT458" s="37"/>
      <c r="AU458" s="37"/>
      <c r="AV458" s="37"/>
      <c r="AW458" s="37"/>
      <c r="AX458" s="37"/>
    </row>
    <row r="459" spans="1:50" ht="20.100000000000001" customHeight="1" x14ac:dyDescent="0.25">
      <c r="A459" s="37"/>
      <c r="B459" s="58"/>
      <c r="C459" s="37"/>
      <c r="D459" s="97"/>
      <c r="E459" s="98"/>
      <c r="F459" s="101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3"/>
      <c r="T459" s="83"/>
      <c r="U459" s="85"/>
      <c r="V459" s="83"/>
      <c r="W459" s="85"/>
      <c r="X459" s="97"/>
      <c r="Y459" s="100"/>
      <c r="Z459" s="100"/>
      <c r="AA459" s="100"/>
      <c r="AB459" s="100"/>
      <c r="AC459" s="100"/>
      <c r="AD459" s="98"/>
      <c r="AE459" s="83"/>
      <c r="AF459" s="84"/>
      <c r="AG459" s="85"/>
      <c r="AH459" s="83"/>
      <c r="AI459" s="84"/>
      <c r="AJ459" s="84"/>
      <c r="AK459" s="85"/>
      <c r="AL459" s="83"/>
      <c r="AM459" s="84"/>
      <c r="AN459" s="85"/>
      <c r="AO459" s="60"/>
      <c r="AP459" s="61"/>
      <c r="AQ459" s="77">
        <f t="shared" si="15"/>
        <v>0</v>
      </c>
      <c r="AR459" s="37"/>
      <c r="AS459" s="78">
        <f t="shared" si="16"/>
        <v>0</v>
      </c>
      <c r="AT459" s="37"/>
      <c r="AU459" s="37"/>
      <c r="AV459" s="37"/>
      <c r="AW459" s="37"/>
      <c r="AX459" s="37"/>
    </row>
    <row r="460" spans="1:50" ht="20.100000000000001" customHeight="1" x14ac:dyDescent="0.25">
      <c r="A460" s="37"/>
      <c r="B460" s="58"/>
      <c r="C460" s="37"/>
      <c r="D460" s="97"/>
      <c r="E460" s="98"/>
      <c r="F460" s="101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3"/>
      <c r="T460" s="83"/>
      <c r="U460" s="85"/>
      <c r="V460" s="83"/>
      <c r="W460" s="85"/>
      <c r="X460" s="97"/>
      <c r="Y460" s="100"/>
      <c r="Z460" s="100"/>
      <c r="AA460" s="100"/>
      <c r="AB460" s="100"/>
      <c r="AC460" s="100"/>
      <c r="AD460" s="98"/>
      <c r="AE460" s="83"/>
      <c r="AF460" s="84"/>
      <c r="AG460" s="85"/>
      <c r="AH460" s="83"/>
      <c r="AI460" s="84"/>
      <c r="AJ460" s="84"/>
      <c r="AK460" s="85"/>
      <c r="AL460" s="83"/>
      <c r="AM460" s="84"/>
      <c r="AN460" s="85"/>
      <c r="AO460" s="60"/>
      <c r="AP460" s="61"/>
      <c r="AQ460" s="77">
        <f t="shared" si="15"/>
        <v>0</v>
      </c>
      <c r="AR460" s="37"/>
      <c r="AS460" s="78">
        <f t="shared" si="16"/>
        <v>0</v>
      </c>
      <c r="AT460" s="37"/>
      <c r="AU460" s="37"/>
      <c r="AV460" s="37"/>
      <c r="AW460" s="37"/>
      <c r="AX460" s="37"/>
    </row>
    <row r="461" spans="1:50" ht="20.100000000000001" customHeight="1" x14ac:dyDescent="0.25">
      <c r="A461" s="37"/>
      <c r="B461" s="58"/>
      <c r="C461" s="37"/>
      <c r="D461" s="97"/>
      <c r="E461" s="98"/>
      <c r="F461" s="101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3"/>
      <c r="T461" s="83"/>
      <c r="U461" s="85"/>
      <c r="V461" s="83"/>
      <c r="W461" s="85"/>
      <c r="X461" s="97"/>
      <c r="Y461" s="100"/>
      <c r="Z461" s="100"/>
      <c r="AA461" s="100"/>
      <c r="AB461" s="100"/>
      <c r="AC461" s="100"/>
      <c r="AD461" s="98"/>
      <c r="AE461" s="83"/>
      <c r="AF461" s="84"/>
      <c r="AG461" s="85"/>
      <c r="AH461" s="83"/>
      <c r="AI461" s="84"/>
      <c r="AJ461" s="84"/>
      <c r="AK461" s="85"/>
      <c r="AL461" s="83"/>
      <c r="AM461" s="84"/>
      <c r="AN461" s="85"/>
      <c r="AO461" s="60"/>
      <c r="AP461" s="61"/>
      <c r="AQ461" s="77">
        <f t="shared" si="15"/>
        <v>0</v>
      </c>
      <c r="AR461" s="37"/>
      <c r="AS461" s="78">
        <f t="shared" si="16"/>
        <v>0</v>
      </c>
      <c r="AT461" s="37"/>
      <c r="AU461" s="37"/>
      <c r="AV461" s="37"/>
      <c r="AW461" s="37"/>
      <c r="AX461" s="37"/>
    </row>
    <row r="462" spans="1:50" ht="20.100000000000001" customHeight="1" x14ac:dyDescent="0.25">
      <c r="A462" s="37"/>
      <c r="B462" s="58"/>
      <c r="C462" s="37"/>
      <c r="D462" s="97"/>
      <c r="E462" s="98"/>
      <c r="F462" s="101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3"/>
      <c r="T462" s="83"/>
      <c r="U462" s="85"/>
      <c r="V462" s="83"/>
      <c r="W462" s="85"/>
      <c r="X462" s="97"/>
      <c r="Y462" s="100"/>
      <c r="Z462" s="100"/>
      <c r="AA462" s="100"/>
      <c r="AB462" s="100"/>
      <c r="AC462" s="100"/>
      <c r="AD462" s="98"/>
      <c r="AE462" s="83"/>
      <c r="AF462" s="84"/>
      <c r="AG462" s="85"/>
      <c r="AH462" s="83"/>
      <c r="AI462" s="84"/>
      <c r="AJ462" s="84"/>
      <c r="AK462" s="85"/>
      <c r="AL462" s="83"/>
      <c r="AM462" s="84"/>
      <c r="AN462" s="85"/>
      <c r="AO462" s="60"/>
      <c r="AP462" s="61"/>
      <c r="AQ462" s="77">
        <f t="shared" si="15"/>
        <v>0</v>
      </c>
      <c r="AR462" s="37"/>
      <c r="AS462" s="78">
        <f t="shared" si="16"/>
        <v>0</v>
      </c>
      <c r="AT462" s="37"/>
      <c r="AU462" s="37"/>
      <c r="AV462" s="37"/>
      <c r="AW462" s="37"/>
      <c r="AX462" s="37"/>
    </row>
    <row r="463" spans="1:50" ht="20.100000000000001" customHeight="1" x14ac:dyDescent="0.25">
      <c r="A463" s="37"/>
      <c r="B463" s="58"/>
      <c r="C463" s="37"/>
      <c r="D463" s="97"/>
      <c r="E463" s="98"/>
      <c r="F463" s="101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3"/>
      <c r="T463" s="83"/>
      <c r="U463" s="85"/>
      <c r="V463" s="83"/>
      <c r="W463" s="85"/>
      <c r="X463" s="97"/>
      <c r="Y463" s="100"/>
      <c r="Z463" s="100"/>
      <c r="AA463" s="100"/>
      <c r="AB463" s="100"/>
      <c r="AC463" s="100"/>
      <c r="AD463" s="98"/>
      <c r="AE463" s="83"/>
      <c r="AF463" s="84"/>
      <c r="AG463" s="85"/>
      <c r="AH463" s="83"/>
      <c r="AI463" s="84"/>
      <c r="AJ463" s="84"/>
      <c r="AK463" s="85"/>
      <c r="AL463" s="83"/>
      <c r="AM463" s="84"/>
      <c r="AN463" s="85"/>
      <c r="AO463" s="60"/>
      <c r="AP463" s="61"/>
      <c r="AQ463" s="77">
        <f t="shared" si="15"/>
        <v>0</v>
      </c>
      <c r="AR463" s="37"/>
      <c r="AS463" s="78">
        <f t="shared" si="16"/>
        <v>0</v>
      </c>
      <c r="AT463" s="37"/>
      <c r="AU463" s="37"/>
      <c r="AV463" s="37"/>
      <c r="AW463" s="37"/>
      <c r="AX463" s="37"/>
    </row>
    <row r="464" spans="1:50" ht="20.100000000000001" customHeight="1" x14ac:dyDescent="0.25">
      <c r="A464" s="37"/>
      <c r="B464" s="58"/>
      <c r="C464" s="37"/>
      <c r="D464" s="97"/>
      <c r="E464" s="98"/>
      <c r="F464" s="101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3"/>
      <c r="T464" s="83"/>
      <c r="U464" s="85"/>
      <c r="V464" s="83"/>
      <c r="W464" s="85"/>
      <c r="X464" s="97"/>
      <c r="Y464" s="100"/>
      <c r="Z464" s="100"/>
      <c r="AA464" s="100"/>
      <c r="AB464" s="100"/>
      <c r="AC464" s="100"/>
      <c r="AD464" s="98"/>
      <c r="AE464" s="83"/>
      <c r="AF464" s="84"/>
      <c r="AG464" s="85"/>
      <c r="AH464" s="83"/>
      <c r="AI464" s="84"/>
      <c r="AJ464" s="84"/>
      <c r="AK464" s="85"/>
      <c r="AL464" s="83"/>
      <c r="AM464" s="84"/>
      <c r="AN464" s="85"/>
      <c r="AO464" s="60"/>
      <c r="AP464" s="61"/>
      <c r="AQ464" s="77">
        <f t="shared" si="15"/>
        <v>0</v>
      </c>
      <c r="AR464" s="37"/>
      <c r="AS464" s="78">
        <f t="shared" si="16"/>
        <v>0</v>
      </c>
      <c r="AT464" s="37"/>
      <c r="AU464" s="37"/>
      <c r="AV464" s="37"/>
      <c r="AW464" s="37"/>
      <c r="AX464" s="37"/>
    </row>
    <row r="465" spans="1:50" ht="20.100000000000001" customHeight="1" x14ac:dyDescent="0.25">
      <c r="A465" s="37"/>
      <c r="B465" s="58"/>
      <c r="C465" s="37"/>
      <c r="D465" s="97"/>
      <c r="E465" s="98"/>
      <c r="F465" s="101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3"/>
      <c r="T465" s="83"/>
      <c r="U465" s="85"/>
      <c r="V465" s="83"/>
      <c r="W465" s="85"/>
      <c r="X465" s="97"/>
      <c r="Y465" s="100"/>
      <c r="Z465" s="100"/>
      <c r="AA465" s="100"/>
      <c r="AB465" s="100"/>
      <c r="AC465" s="100"/>
      <c r="AD465" s="98"/>
      <c r="AE465" s="83"/>
      <c r="AF465" s="84"/>
      <c r="AG465" s="85"/>
      <c r="AH465" s="83"/>
      <c r="AI465" s="84"/>
      <c r="AJ465" s="84"/>
      <c r="AK465" s="85"/>
      <c r="AL465" s="83"/>
      <c r="AM465" s="84"/>
      <c r="AN465" s="85"/>
      <c r="AO465" s="60"/>
      <c r="AP465" s="61"/>
      <c r="AQ465" s="77">
        <f t="shared" si="15"/>
        <v>0</v>
      </c>
      <c r="AR465" s="37"/>
      <c r="AS465" s="78">
        <f t="shared" si="16"/>
        <v>0</v>
      </c>
      <c r="AT465" s="37"/>
      <c r="AU465" s="37"/>
      <c r="AV465" s="37"/>
      <c r="AW465" s="37"/>
      <c r="AX465" s="37"/>
    </row>
    <row r="466" spans="1:50" ht="20.100000000000001" customHeight="1" x14ac:dyDescent="0.25">
      <c r="A466" s="37"/>
      <c r="B466" s="58"/>
      <c r="C466" s="37"/>
      <c r="D466" s="97"/>
      <c r="E466" s="98"/>
      <c r="F466" s="101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3"/>
      <c r="T466" s="83"/>
      <c r="U466" s="85"/>
      <c r="V466" s="83"/>
      <c r="W466" s="85"/>
      <c r="X466" s="97"/>
      <c r="Y466" s="100"/>
      <c r="Z466" s="100"/>
      <c r="AA466" s="100"/>
      <c r="AB466" s="100"/>
      <c r="AC466" s="100"/>
      <c r="AD466" s="98"/>
      <c r="AE466" s="83"/>
      <c r="AF466" s="84"/>
      <c r="AG466" s="85"/>
      <c r="AH466" s="83"/>
      <c r="AI466" s="84"/>
      <c r="AJ466" s="84"/>
      <c r="AK466" s="85"/>
      <c r="AL466" s="83"/>
      <c r="AM466" s="84"/>
      <c r="AN466" s="85"/>
      <c r="AO466" s="60"/>
      <c r="AP466" s="61"/>
      <c r="AQ466" s="77">
        <f t="shared" si="15"/>
        <v>0</v>
      </c>
      <c r="AR466" s="37"/>
      <c r="AS466" s="78">
        <f t="shared" si="16"/>
        <v>0</v>
      </c>
      <c r="AT466" s="37"/>
      <c r="AU466" s="37"/>
      <c r="AV466" s="37"/>
      <c r="AW466" s="37"/>
      <c r="AX466" s="37"/>
    </row>
    <row r="467" spans="1:50" ht="20.100000000000001" customHeight="1" x14ac:dyDescent="0.25">
      <c r="A467" s="37"/>
      <c r="B467" s="58"/>
      <c r="C467" s="37"/>
      <c r="D467" s="97"/>
      <c r="E467" s="98"/>
      <c r="F467" s="101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3"/>
      <c r="T467" s="83"/>
      <c r="U467" s="85"/>
      <c r="V467" s="83"/>
      <c r="W467" s="85"/>
      <c r="X467" s="97"/>
      <c r="Y467" s="100"/>
      <c r="Z467" s="100"/>
      <c r="AA467" s="100"/>
      <c r="AB467" s="100"/>
      <c r="AC467" s="100"/>
      <c r="AD467" s="98"/>
      <c r="AE467" s="83"/>
      <c r="AF467" s="84"/>
      <c r="AG467" s="85"/>
      <c r="AH467" s="83"/>
      <c r="AI467" s="84"/>
      <c r="AJ467" s="84"/>
      <c r="AK467" s="85"/>
      <c r="AL467" s="83"/>
      <c r="AM467" s="84"/>
      <c r="AN467" s="85"/>
      <c r="AO467" s="60"/>
      <c r="AP467" s="61"/>
      <c r="AQ467" s="77">
        <f t="shared" si="15"/>
        <v>0</v>
      </c>
      <c r="AR467" s="37"/>
      <c r="AS467" s="78">
        <f t="shared" si="16"/>
        <v>0</v>
      </c>
      <c r="AT467" s="37"/>
      <c r="AU467" s="37"/>
      <c r="AV467" s="37"/>
      <c r="AW467" s="37"/>
      <c r="AX467" s="37"/>
    </row>
    <row r="468" spans="1:50" ht="20.100000000000001" customHeight="1" x14ac:dyDescent="0.25">
      <c r="A468" s="37"/>
      <c r="B468" s="58"/>
      <c r="C468" s="37"/>
      <c r="D468" s="97"/>
      <c r="E468" s="98"/>
      <c r="F468" s="101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3"/>
      <c r="T468" s="83"/>
      <c r="U468" s="85"/>
      <c r="V468" s="83"/>
      <c r="W468" s="85"/>
      <c r="X468" s="97"/>
      <c r="Y468" s="100"/>
      <c r="Z468" s="100"/>
      <c r="AA468" s="100"/>
      <c r="AB468" s="100"/>
      <c r="AC468" s="100"/>
      <c r="AD468" s="98"/>
      <c r="AE468" s="83"/>
      <c r="AF468" s="84"/>
      <c r="AG468" s="85"/>
      <c r="AH468" s="83"/>
      <c r="AI468" s="84"/>
      <c r="AJ468" s="84"/>
      <c r="AK468" s="85"/>
      <c r="AL468" s="83"/>
      <c r="AM468" s="84"/>
      <c r="AN468" s="85"/>
      <c r="AO468" s="60"/>
      <c r="AP468" s="61"/>
      <c r="AQ468" s="77">
        <f t="shared" si="15"/>
        <v>0</v>
      </c>
      <c r="AR468" s="37"/>
      <c r="AS468" s="78">
        <f t="shared" si="16"/>
        <v>0</v>
      </c>
      <c r="AT468" s="37"/>
      <c r="AU468" s="37"/>
      <c r="AV468" s="37"/>
      <c r="AW468" s="37"/>
      <c r="AX468" s="37"/>
    </row>
    <row r="469" spans="1:50" ht="20.100000000000001" customHeight="1" x14ac:dyDescent="0.25">
      <c r="A469" s="37"/>
      <c r="B469" s="58"/>
      <c r="C469" s="37"/>
      <c r="D469" s="97"/>
      <c r="E469" s="98"/>
      <c r="F469" s="101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3"/>
      <c r="T469" s="83"/>
      <c r="U469" s="85"/>
      <c r="V469" s="83"/>
      <c r="W469" s="85"/>
      <c r="X469" s="97"/>
      <c r="Y469" s="100"/>
      <c r="Z469" s="100"/>
      <c r="AA469" s="100"/>
      <c r="AB469" s="100"/>
      <c r="AC469" s="100"/>
      <c r="AD469" s="98"/>
      <c r="AE469" s="83"/>
      <c r="AF469" s="84"/>
      <c r="AG469" s="85"/>
      <c r="AH469" s="83"/>
      <c r="AI469" s="84"/>
      <c r="AJ469" s="84"/>
      <c r="AK469" s="85"/>
      <c r="AL469" s="83"/>
      <c r="AM469" s="84"/>
      <c r="AN469" s="85"/>
      <c r="AO469" s="60"/>
      <c r="AP469" s="61"/>
      <c r="AQ469" s="77">
        <f t="shared" si="15"/>
        <v>0</v>
      </c>
      <c r="AR469" s="37"/>
      <c r="AS469" s="78">
        <f t="shared" si="16"/>
        <v>0</v>
      </c>
      <c r="AT469" s="37"/>
      <c r="AU469" s="37"/>
      <c r="AV469" s="37"/>
      <c r="AW469" s="37"/>
      <c r="AX469" s="37"/>
    </row>
    <row r="470" spans="1:50" ht="20.100000000000001" customHeight="1" x14ac:dyDescent="0.25">
      <c r="A470" s="37"/>
      <c r="B470" s="58"/>
      <c r="C470" s="37"/>
      <c r="D470" s="97"/>
      <c r="E470" s="98"/>
      <c r="F470" s="101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3"/>
      <c r="T470" s="83"/>
      <c r="U470" s="85"/>
      <c r="V470" s="83"/>
      <c r="W470" s="85"/>
      <c r="X470" s="97"/>
      <c r="Y470" s="100"/>
      <c r="Z470" s="100"/>
      <c r="AA470" s="100"/>
      <c r="AB470" s="100"/>
      <c r="AC470" s="100"/>
      <c r="AD470" s="98"/>
      <c r="AE470" s="83"/>
      <c r="AF470" s="84"/>
      <c r="AG470" s="85"/>
      <c r="AH470" s="83"/>
      <c r="AI470" s="84"/>
      <c r="AJ470" s="84"/>
      <c r="AK470" s="85"/>
      <c r="AL470" s="83"/>
      <c r="AM470" s="84"/>
      <c r="AN470" s="85"/>
      <c r="AO470" s="60"/>
      <c r="AP470" s="61"/>
      <c r="AQ470" s="77">
        <f t="shared" si="15"/>
        <v>0</v>
      </c>
      <c r="AR470" s="37"/>
      <c r="AS470" s="78">
        <f t="shared" si="16"/>
        <v>0</v>
      </c>
      <c r="AT470" s="37"/>
      <c r="AU470" s="37"/>
      <c r="AV470" s="37"/>
      <c r="AW470" s="37"/>
      <c r="AX470" s="37"/>
    </row>
    <row r="471" spans="1:50" ht="20.100000000000001" customHeight="1" x14ac:dyDescent="0.25">
      <c r="A471" s="37"/>
      <c r="B471" s="58"/>
      <c r="C471" s="37"/>
      <c r="D471" s="97"/>
      <c r="E471" s="98"/>
      <c r="F471" s="101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3"/>
      <c r="T471" s="83"/>
      <c r="U471" s="85"/>
      <c r="V471" s="83"/>
      <c r="W471" s="85"/>
      <c r="X471" s="97"/>
      <c r="Y471" s="100"/>
      <c r="Z471" s="100"/>
      <c r="AA471" s="100"/>
      <c r="AB471" s="100"/>
      <c r="AC471" s="100"/>
      <c r="AD471" s="98"/>
      <c r="AE471" s="83"/>
      <c r="AF471" s="84"/>
      <c r="AG471" s="85"/>
      <c r="AH471" s="83"/>
      <c r="AI471" s="84"/>
      <c r="AJ471" s="84"/>
      <c r="AK471" s="85"/>
      <c r="AL471" s="83"/>
      <c r="AM471" s="84"/>
      <c r="AN471" s="85"/>
      <c r="AO471" s="60"/>
      <c r="AP471" s="61"/>
      <c r="AQ471" s="77">
        <f t="shared" si="15"/>
        <v>0</v>
      </c>
      <c r="AR471" s="37"/>
      <c r="AS471" s="78">
        <f t="shared" si="16"/>
        <v>0</v>
      </c>
      <c r="AT471" s="37"/>
      <c r="AU471" s="37"/>
      <c r="AV471" s="37"/>
      <c r="AW471" s="37"/>
      <c r="AX471" s="37"/>
    </row>
    <row r="472" spans="1:50" ht="20.100000000000001" customHeight="1" x14ac:dyDescent="0.25">
      <c r="A472" s="37"/>
      <c r="B472" s="58"/>
      <c r="C472" s="37"/>
      <c r="D472" s="97"/>
      <c r="E472" s="98"/>
      <c r="F472" s="101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3"/>
      <c r="T472" s="83"/>
      <c r="U472" s="85"/>
      <c r="V472" s="83"/>
      <c r="W472" s="85"/>
      <c r="X472" s="97"/>
      <c r="Y472" s="100"/>
      <c r="Z472" s="100"/>
      <c r="AA472" s="100"/>
      <c r="AB472" s="100"/>
      <c r="AC472" s="100"/>
      <c r="AD472" s="98"/>
      <c r="AE472" s="83"/>
      <c r="AF472" s="84"/>
      <c r="AG472" s="85"/>
      <c r="AH472" s="83"/>
      <c r="AI472" s="84"/>
      <c r="AJ472" s="84"/>
      <c r="AK472" s="85"/>
      <c r="AL472" s="83"/>
      <c r="AM472" s="84"/>
      <c r="AN472" s="85"/>
      <c r="AO472" s="60"/>
      <c r="AP472" s="61"/>
      <c r="AQ472" s="77">
        <f t="shared" si="15"/>
        <v>0</v>
      </c>
      <c r="AR472" s="37"/>
      <c r="AS472" s="78">
        <f t="shared" si="16"/>
        <v>0</v>
      </c>
      <c r="AT472" s="37"/>
      <c r="AU472" s="37"/>
      <c r="AV472" s="37"/>
      <c r="AW472" s="37"/>
      <c r="AX472" s="37"/>
    </row>
    <row r="473" spans="1:50" ht="20.100000000000001" customHeight="1" x14ac:dyDescent="0.25">
      <c r="A473" s="37"/>
      <c r="B473" s="58"/>
      <c r="C473" s="37"/>
      <c r="D473" s="97"/>
      <c r="E473" s="98"/>
      <c r="F473" s="101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3"/>
      <c r="T473" s="83"/>
      <c r="U473" s="85"/>
      <c r="V473" s="83"/>
      <c r="W473" s="85"/>
      <c r="X473" s="97"/>
      <c r="Y473" s="100"/>
      <c r="Z473" s="100"/>
      <c r="AA473" s="100"/>
      <c r="AB473" s="100"/>
      <c r="AC473" s="100"/>
      <c r="AD473" s="98"/>
      <c r="AE473" s="83"/>
      <c r="AF473" s="84"/>
      <c r="AG473" s="85"/>
      <c r="AH473" s="83"/>
      <c r="AI473" s="84"/>
      <c r="AJ473" s="84"/>
      <c r="AK473" s="85"/>
      <c r="AL473" s="83"/>
      <c r="AM473" s="84"/>
      <c r="AN473" s="85"/>
      <c r="AO473" s="60"/>
      <c r="AP473" s="61"/>
      <c r="AQ473" s="77">
        <f t="shared" si="15"/>
        <v>0</v>
      </c>
      <c r="AR473" s="37"/>
      <c r="AS473" s="78">
        <f t="shared" si="16"/>
        <v>0</v>
      </c>
      <c r="AT473" s="37"/>
      <c r="AU473" s="37"/>
      <c r="AV473" s="37"/>
      <c r="AW473" s="37"/>
      <c r="AX473" s="37"/>
    </row>
    <row r="474" spans="1:50" ht="20.100000000000001" customHeight="1" x14ac:dyDescent="0.25">
      <c r="A474" s="37"/>
      <c r="B474" s="58"/>
      <c r="C474" s="37"/>
      <c r="D474" s="97"/>
      <c r="E474" s="98"/>
      <c r="F474" s="101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3"/>
      <c r="T474" s="83"/>
      <c r="U474" s="85"/>
      <c r="V474" s="83"/>
      <c r="W474" s="85"/>
      <c r="X474" s="97"/>
      <c r="Y474" s="100"/>
      <c r="Z474" s="100"/>
      <c r="AA474" s="100"/>
      <c r="AB474" s="100"/>
      <c r="AC474" s="100"/>
      <c r="AD474" s="98"/>
      <c r="AE474" s="83"/>
      <c r="AF474" s="84"/>
      <c r="AG474" s="85"/>
      <c r="AH474" s="83"/>
      <c r="AI474" s="84"/>
      <c r="AJ474" s="84"/>
      <c r="AK474" s="85"/>
      <c r="AL474" s="83"/>
      <c r="AM474" s="84"/>
      <c r="AN474" s="85"/>
      <c r="AO474" s="60"/>
      <c r="AP474" s="61"/>
      <c r="AQ474" s="77">
        <f t="shared" si="15"/>
        <v>0</v>
      </c>
      <c r="AR474" s="37"/>
      <c r="AS474" s="78">
        <f t="shared" si="16"/>
        <v>0</v>
      </c>
      <c r="AT474" s="37"/>
      <c r="AU474" s="37"/>
      <c r="AV474" s="37"/>
      <c r="AW474" s="37"/>
      <c r="AX474" s="37"/>
    </row>
    <row r="475" spans="1:50" ht="20.100000000000001" customHeight="1" x14ac:dyDescent="0.25">
      <c r="A475" s="37"/>
      <c r="B475" s="58"/>
      <c r="C475" s="37"/>
      <c r="D475" s="97"/>
      <c r="E475" s="98"/>
      <c r="F475" s="101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3"/>
      <c r="T475" s="83"/>
      <c r="U475" s="85"/>
      <c r="V475" s="83"/>
      <c r="W475" s="85"/>
      <c r="X475" s="97"/>
      <c r="Y475" s="100"/>
      <c r="Z475" s="100"/>
      <c r="AA475" s="100"/>
      <c r="AB475" s="100"/>
      <c r="AC475" s="100"/>
      <c r="AD475" s="98"/>
      <c r="AE475" s="83"/>
      <c r="AF475" s="84"/>
      <c r="AG475" s="85"/>
      <c r="AH475" s="83"/>
      <c r="AI475" s="84"/>
      <c r="AJ475" s="84"/>
      <c r="AK475" s="85"/>
      <c r="AL475" s="83"/>
      <c r="AM475" s="84"/>
      <c r="AN475" s="85"/>
      <c r="AO475" s="60"/>
      <c r="AP475" s="61"/>
      <c r="AQ475" s="77">
        <f t="shared" si="15"/>
        <v>0</v>
      </c>
      <c r="AR475" s="37"/>
      <c r="AS475" s="78">
        <f t="shared" si="16"/>
        <v>0</v>
      </c>
      <c r="AT475" s="37"/>
      <c r="AU475" s="37"/>
      <c r="AV475" s="37"/>
      <c r="AW475" s="37"/>
      <c r="AX475" s="37"/>
    </row>
    <row r="476" spans="1:50" ht="20.100000000000001" customHeight="1" x14ac:dyDescent="0.25">
      <c r="A476" s="37"/>
      <c r="B476" s="58"/>
      <c r="C476" s="37"/>
      <c r="D476" s="97"/>
      <c r="E476" s="98"/>
      <c r="F476" s="101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3"/>
      <c r="T476" s="83"/>
      <c r="U476" s="85"/>
      <c r="V476" s="83"/>
      <c r="W476" s="85"/>
      <c r="X476" s="97"/>
      <c r="Y476" s="100"/>
      <c r="Z476" s="100"/>
      <c r="AA476" s="100"/>
      <c r="AB476" s="100"/>
      <c r="AC476" s="100"/>
      <c r="AD476" s="98"/>
      <c r="AE476" s="83"/>
      <c r="AF476" s="84"/>
      <c r="AG476" s="85"/>
      <c r="AH476" s="83"/>
      <c r="AI476" s="84"/>
      <c r="AJ476" s="84"/>
      <c r="AK476" s="85"/>
      <c r="AL476" s="83"/>
      <c r="AM476" s="84"/>
      <c r="AN476" s="85"/>
      <c r="AO476" s="60"/>
      <c r="AP476" s="61"/>
      <c r="AQ476" s="77">
        <f t="shared" si="15"/>
        <v>0</v>
      </c>
      <c r="AR476" s="37"/>
      <c r="AS476" s="78">
        <f t="shared" si="16"/>
        <v>0</v>
      </c>
      <c r="AT476" s="37"/>
      <c r="AU476" s="37"/>
      <c r="AV476" s="37"/>
      <c r="AW476" s="37"/>
      <c r="AX476" s="37"/>
    </row>
    <row r="477" spans="1:50" ht="20.100000000000001" customHeight="1" x14ac:dyDescent="0.25">
      <c r="A477" s="37"/>
      <c r="B477" s="58"/>
      <c r="C477" s="37"/>
      <c r="D477" s="97"/>
      <c r="E477" s="98"/>
      <c r="F477" s="101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3"/>
      <c r="T477" s="83"/>
      <c r="U477" s="85"/>
      <c r="V477" s="83"/>
      <c r="W477" s="85"/>
      <c r="X477" s="97"/>
      <c r="Y477" s="100"/>
      <c r="Z477" s="100"/>
      <c r="AA477" s="100"/>
      <c r="AB477" s="100"/>
      <c r="AC477" s="100"/>
      <c r="AD477" s="98"/>
      <c r="AE477" s="83"/>
      <c r="AF477" s="84"/>
      <c r="AG477" s="85"/>
      <c r="AH477" s="83"/>
      <c r="AI477" s="84"/>
      <c r="AJ477" s="84"/>
      <c r="AK477" s="85"/>
      <c r="AL477" s="83"/>
      <c r="AM477" s="84"/>
      <c r="AN477" s="85"/>
      <c r="AO477" s="60"/>
      <c r="AP477" s="61"/>
      <c r="AQ477" s="77">
        <f t="shared" si="15"/>
        <v>0</v>
      </c>
      <c r="AR477" s="37"/>
      <c r="AS477" s="78">
        <f t="shared" si="16"/>
        <v>0</v>
      </c>
      <c r="AT477" s="37"/>
      <c r="AU477" s="37"/>
      <c r="AV477" s="37"/>
      <c r="AW477" s="37"/>
      <c r="AX477" s="37"/>
    </row>
    <row r="478" spans="1:50" ht="20.100000000000001" customHeight="1" x14ac:dyDescent="0.25">
      <c r="A478" s="37"/>
      <c r="B478" s="58"/>
      <c r="C478" s="37"/>
      <c r="D478" s="97"/>
      <c r="E478" s="98"/>
      <c r="F478" s="101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3"/>
      <c r="T478" s="83"/>
      <c r="U478" s="85"/>
      <c r="V478" s="83"/>
      <c r="W478" s="85"/>
      <c r="X478" s="97"/>
      <c r="Y478" s="100"/>
      <c r="Z478" s="100"/>
      <c r="AA478" s="100"/>
      <c r="AB478" s="100"/>
      <c r="AC478" s="100"/>
      <c r="AD478" s="98"/>
      <c r="AE478" s="83"/>
      <c r="AF478" s="84"/>
      <c r="AG478" s="85"/>
      <c r="AH478" s="83"/>
      <c r="AI478" s="84"/>
      <c r="AJ478" s="84"/>
      <c r="AK478" s="85"/>
      <c r="AL478" s="83"/>
      <c r="AM478" s="84"/>
      <c r="AN478" s="85"/>
      <c r="AO478" s="60"/>
      <c r="AP478" s="61"/>
      <c r="AQ478" s="77">
        <f t="shared" si="15"/>
        <v>0</v>
      </c>
      <c r="AR478" s="37"/>
      <c r="AS478" s="78">
        <f t="shared" si="16"/>
        <v>0</v>
      </c>
      <c r="AT478" s="37"/>
      <c r="AU478" s="37"/>
      <c r="AV478" s="37"/>
      <c r="AW478" s="37"/>
      <c r="AX478" s="37"/>
    </row>
    <row r="479" spans="1:50" ht="20.100000000000001" customHeight="1" x14ac:dyDescent="0.25">
      <c r="A479" s="37"/>
      <c r="B479" s="58"/>
      <c r="C479" s="37"/>
      <c r="D479" s="97"/>
      <c r="E479" s="98"/>
      <c r="F479" s="101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3"/>
      <c r="T479" s="83"/>
      <c r="U479" s="85"/>
      <c r="V479" s="83"/>
      <c r="W479" s="85"/>
      <c r="X479" s="97"/>
      <c r="Y479" s="100"/>
      <c r="Z479" s="100"/>
      <c r="AA479" s="100"/>
      <c r="AB479" s="100"/>
      <c r="AC479" s="100"/>
      <c r="AD479" s="98"/>
      <c r="AE479" s="83"/>
      <c r="AF479" s="84"/>
      <c r="AG479" s="85"/>
      <c r="AH479" s="83"/>
      <c r="AI479" s="84"/>
      <c r="AJ479" s="84"/>
      <c r="AK479" s="85"/>
      <c r="AL479" s="83"/>
      <c r="AM479" s="84"/>
      <c r="AN479" s="85"/>
      <c r="AO479" s="60"/>
      <c r="AP479" s="61"/>
      <c r="AQ479" s="77">
        <f t="shared" si="15"/>
        <v>0</v>
      </c>
      <c r="AR479" s="37"/>
      <c r="AS479" s="78">
        <f t="shared" si="16"/>
        <v>0</v>
      </c>
      <c r="AT479" s="37"/>
      <c r="AU479" s="37"/>
      <c r="AV479" s="37"/>
      <c r="AW479" s="37"/>
      <c r="AX479" s="37"/>
    </row>
    <row r="480" spans="1:50" ht="20.100000000000001" customHeight="1" x14ac:dyDescent="0.25">
      <c r="A480" s="37"/>
      <c r="B480" s="58"/>
      <c r="C480" s="37"/>
      <c r="D480" s="97"/>
      <c r="E480" s="98"/>
      <c r="F480" s="101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3"/>
      <c r="T480" s="83"/>
      <c r="U480" s="85"/>
      <c r="V480" s="83"/>
      <c r="W480" s="85"/>
      <c r="X480" s="97"/>
      <c r="Y480" s="100"/>
      <c r="Z480" s="100"/>
      <c r="AA480" s="100"/>
      <c r="AB480" s="100"/>
      <c r="AC480" s="100"/>
      <c r="AD480" s="98"/>
      <c r="AE480" s="83"/>
      <c r="AF480" s="84"/>
      <c r="AG480" s="85"/>
      <c r="AH480" s="83"/>
      <c r="AI480" s="84"/>
      <c r="AJ480" s="84"/>
      <c r="AK480" s="85"/>
      <c r="AL480" s="83"/>
      <c r="AM480" s="84"/>
      <c r="AN480" s="85"/>
      <c r="AO480" s="60"/>
      <c r="AP480" s="61"/>
      <c r="AQ480" s="77">
        <f t="shared" si="15"/>
        <v>0</v>
      </c>
      <c r="AR480" s="37"/>
      <c r="AS480" s="78">
        <f t="shared" si="16"/>
        <v>0</v>
      </c>
      <c r="AT480" s="37"/>
      <c r="AU480" s="37"/>
      <c r="AV480" s="37"/>
      <c r="AW480" s="37"/>
      <c r="AX480" s="37"/>
    </row>
    <row r="481" spans="1:50" ht="20.100000000000001" customHeight="1" x14ac:dyDescent="0.25">
      <c r="A481" s="37"/>
      <c r="B481" s="58"/>
      <c r="C481" s="37"/>
      <c r="D481" s="97"/>
      <c r="E481" s="98"/>
      <c r="F481" s="101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3"/>
      <c r="T481" s="83"/>
      <c r="U481" s="85"/>
      <c r="V481" s="83"/>
      <c r="W481" s="85"/>
      <c r="X481" s="97"/>
      <c r="Y481" s="100"/>
      <c r="Z481" s="100"/>
      <c r="AA481" s="100"/>
      <c r="AB481" s="100"/>
      <c r="AC481" s="100"/>
      <c r="AD481" s="98"/>
      <c r="AE481" s="83"/>
      <c r="AF481" s="84"/>
      <c r="AG481" s="85"/>
      <c r="AH481" s="83"/>
      <c r="AI481" s="84"/>
      <c r="AJ481" s="84"/>
      <c r="AK481" s="85"/>
      <c r="AL481" s="83"/>
      <c r="AM481" s="84"/>
      <c r="AN481" s="85"/>
      <c r="AO481" s="60"/>
      <c r="AP481" s="61"/>
      <c r="AQ481" s="77">
        <f t="shared" si="15"/>
        <v>0</v>
      </c>
      <c r="AR481" s="37"/>
      <c r="AS481" s="78">
        <f t="shared" si="16"/>
        <v>0</v>
      </c>
      <c r="AT481" s="37"/>
      <c r="AU481" s="37"/>
      <c r="AV481" s="37"/>
      <c r="AW481" s="37"/>
      <c r="AX481" s="37"/>
    </row>
    <row r="482" spans="1:50" ht="20.100000000000001" customHeight="1" x14ac:dyDescent="0.25">
      <c r="A482" s="37"/>
      <c r="B482" s="58"/>
      <c r="C482" s="37"/>
      <c r="D482" s="97"/>
      <c r="E482" s="98"/>
      <c r="F482" s="101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3"/>
      <c r="T482" s="83"/>
      <c r="U482" s="85"/>
      <c r="V482" s="83"/>
      <c r="W482" s="85"/>
      <c r="X482" s="97"/>
      <c r="Y482" s="100"/>
      <c r="Z482" s="100"/>
      <c r="AA482" s="100"/>
      <c r="AB482" s="100"/>
      <c r="AC482" s="100"/>
      <c r="AD482" s="98"/>
      <c r="AE482" s="83"/>
      <c r="AF482" s="84"/>
      <c r="AG482" s="85"/>
      <c r="AH482" s="83"/>
      <c r="AI482" s="84"/>
      <c r="AJ482" s="84"/>
      <c r="AK482" s="85"/>
      <c r="AL482" s="83"/>
      <c r="AM482" s="84"/>
      <c r="AN482" s="85"/>
      <c r="AO482" s="60"/>
      <c r="AP482" s="61"/>
      <c r="AQ482" s="77">
        <f t="shared" si="15"/>
        <v>0</v>
      </c>
      <c r="AR482" s="37"/>
      <c r="AS482" s="78">
        <f t="shared" si="16"/>
        <v>0</v>
      </c>
      <c r="AT482" s="37"/>
      <c r="AU482" s="37"/>
      <c r="AV482" s="37"/>
      <c r="AW482" s="37"/>
      <c r="AX482" s="37"/>
    </row>
    <row r="483" spans="1:50" ht="20.100000000000001" customHeight="1" x14ac:dyDescent="0.25">
      <c r="A483" s="37"/>
      <c r="B483" s="58"/>
      <c r="C483" s="37"/>
      <c r="D483" s="97"/>
      <c r="E483" s="98"/>
      <c r="F483" s="101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3"/>
      <c r="T483" s="83"/>
      <c r="U483" s="85"/>
      <c r="V483" s="83"/>
      <c r="W483" s="85"/>
      <c r="X483" s="97"/>
      <c r="Y483" s="100"/>
      <c r="Z483" s="100"/>
      <c r="AA483" s="100"/>
      <c r="AB483" s="100"/>
      <c r="AC483" s="100"/>
      <c r="AD483" s="98"/>
      <c r="AE483" s="83"/>
      <c r="AF483" s="84"/>
      <c r="AG483" s="85"/>
      <c r="AH483" s="83"/>
      <c r="AI483" s="84"/>
      <c r="AJ483" s="84"/>
      <c r="AK483" s="85"/>
      <c r="AL483" s="83"/>
      <c r="AM483" s="84"/>
      <c r="AN483" s="85"/>
      <c r="AO483" s="60"/>
      <c r="AP483" s="61"/>
      <c r="AQ483" s="77">
        <f t="shared" si="15"/>
        <v>0</v>
      </c>
      <c r="AR483" s="37"/>
      <c r="AS483" s="78">
        <f t="shared" si="16"/>
        <v>0</v>
      </c>
      <c r="AT483" s="37"/>
      <c r="AU483" s="37"/>
      <c r="AV483" s="37"/>
      <c r="AW483" s="37"/>
      <c r="AX483" s="37"/>
    </row>
    <row r="484" spans="1:50" ht="20.100000000000001" customHeight="1" x14ac:dyDescent="0.25">
      <c r="A484" s="37"/>
      <c r="B484" s="58"/>
      <c r="C484" s="37"/>
      <c r="D484" s="97"/>
      <c r="E484" s="98"/>
      <c r="F484" s="101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3"/>
      <c r="T484" s="83"/>
      <c r="U484" s="85"/>
      <c r="V484" s="83"/>
      <c r="W484" s="85"/>
      <c r="X484" s="97"/>
      <c r="Y484" s="100"/>
      <c r="Z484" s="100"/>
      <c r="AA484" s="100"/>
      <c r="AB484" s="100"/>
      <c r="AC484" s="100"/>
      <c r="AD484" s="98"/>
      <c r="AE484" s="83"/>
      <c r="AF484" s="84"/>
      <c r="AG484" s="85"/>
      <c r="AH484" s="83"/>
      <c r="AI484" s="84"/>
      <c r="AJ484" s="84"/>
      <c r="AK484" s="85"/>
      <c r="AL484" s="83"/>
      <c r="AM484" s="84"/>
      <c r="AN484" s="85"/>
      <c r="AO484" s="60"/>
      <c r="AP484" s="61"/>
      <c r="AQ484" s="77">
        <f t="shared" si="15"/>
        <v>0</v>
      </c>
      <c r="AR484" s="37"/>
      <c r="AS484" s="78">
        <f t="shared" si="16"/>
        <v>0</v>
      </c>
      <c r="AT484" s="37"/>
      <c r="AU484" s="37"/>
      <c r="AV484" s="37"/>
      <c r="AW484" s="37"/>
      <c r="AX484" s="37"/>
    </row>
    <row r="485" spans="1:50" ht="20.100000000000001" customHeight="1" x14ac:dyDescent="0.25">
      <c r="A485" s="37"/>
      <c r="B485" s="58"/>
      <c r="C485" s="37"/>
      <c r="D485" s="97"/>
      <c r="E485" s="98"/>
      <c r="F485" s="101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3"/>
      <c r="T485" s="83"/>
      <c r="U485" s="85"/>
      <c r="V485" s="83"/>
      <c r="W485" s="85"/>
      <c r="X485" s="97"/>
      <c r="Y485" s="100"/>
      <c r="Z485" s="100"/>
      <c r="AA485" s="100"/>
      <c r="AB485" s="100"/>
      <c r="AC485" s="100"/>
      <c r="AD485" s="98"/>
      <c r="AE485" s="83"/>
      <c r="AF485" s="84"/>
      <c r="AG485" s="85"/>
      <c r="AH485" s="83"/>
      <c r="AI485" s="84"/>
      <c r="AJ485" s="84"/>
      <c r="AK485" s="85"/>
      <c r="AL485" s="83"/>
      <c r="AM485" s="84"/>
      <c r="AN485" s="85"/>
      <c r="AO485" s="60"/>
      <c r="AP485" s="61"/>
      <c r="AQ485" s="77">
        <f t="shared" si="15"/>
        <v>0</v>
      </c>
      <c r="AR485" s="37"/>
      <c r="AS485" s="78">
        <f t="shared" si="16"/>
        <v>0</v>
      </c>
      <c r="AT485" s="37"/>
      <c r="AU485" s="37"/>
      <c r="AV485" s="37"/>
      <c r="AW485" s="37"/>
      <c r="AX485" s="37"/>
    </row>
    <row r="486" spans="1:50" ht="20.100000000000001" customHeight="1" x14ac:dyDescent="0.25">
      <c r="A486" s="37"/>
      <c r="B486" s="58"/>
      <c r="C486" s="37"/>
      <c r="D486" s="97"/>
      <c r="E486" s="98"/>
      <c r="F486" s="101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3"/>
      <c r="T486" s="83"/>
      <c r="U486" s="85"/>
      <c r="V486" s="83"/>
      <c r="W486" s="85"/>
      <c r="X486" s="97"/>
      <c r="Y486" s="100"/>
      <c r="Z486" s="100"/>
      <c r="AA486" s="100"/>
      <c r="AB486" s="100"/>
      <c r="AC486" s="100"/>
      <c r="AD486" s="98"/>
      <c r="AE486" s="83"/>
      <c r="AF486" s="84"/>
      <c r="AG486" s="85"/>
      <c r="AH486" s="83"/>
      <c r="AI486" s="84"/>
      <c r="AJ486" s="84"/>
      <c r="AK486" s="85"/>
      <c r="AL486" s="83"/>
      <c r="AM486" s="84"/>
      <c r="AN486" s="85"/>
      <c r="AO486" s="60"/>
      <c r="AP486" s="61"/>
      <c r="AQ486" s="77">
        <f t="shared" si="15"/>
        <v>0</v>
      </c>
      <c r="AR486" s="37"/>
      <c r="AS486" s="78">
        <f t="shared" si="16"/>
        <v>0</v>
      </c>
      <c r="AT486" s="37"/>
      <c r="AU486" s="37"/>
      <c r="AV486" s="37"/>
      <c r="AW486" s="37"/>
      <c r="AX486" s="37"/>
    </row>
    <row r="487" spans="1:50" ht="20.100000000000001" customHeight="1" x14ac:dyDescent="0.25">
      <c r="A487" s="37"/>
      <c r="B487" s="58"/>
      <c r="C487" s="37"/>
      <c r="D487" s="97"/>
      <c r="E487" s="98"/>
      <c r="F487" s="101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3"/>
      <c r="T487" s="83"/>
      <c r="U487" s="85"/>
      <c r="V487" s="83"/>
      <c r="W487" s="85"/>
      <c r="X487" s="97"/>
      <c r="Y487" s="100"/>
      <c r="Z487" s="100"/>
      <c r="AA487" s="100"/>
      <c r="AB487" s="100"/>
      <c r="AC487" s="100"/>
      <c r="AD487" s="98"/>
      <c r="AE487" s="83"/>
      <c r="AF487" s="84"/>
      <c r="AG487" s="85"/>
      <c r="AH487" s="83"/>
      <c r="AI487" s="84"/>
      <c r="AJ487" s="84"/>
      <c r="AK487" s="85"/>
      <c r="AL487" s="83"/>
      <c r="AM487" s="84"/>
      <c r="AN487" s="85"/>
      <c r="AO487" s="60"/>
      <c r="AP487" s="61"/>
      <c r="AQ487" s="77">
        <f t="shared" si="15"/>
        <v>0</v>
      </c>
      <c r="AR487" s="37"/>
      <c r="AS487" s="78">
        <f t="shared" si="16"/>
        <v>0</v>
      </c>
      <c r="AT487" s="37"/>
      <c r="AU487" s="37"/>
      <c r="AV487" s="37"/>
      <c r="AW487" s="37"/>
      <c r="AX487" s="37"/>
    </row>
    <row r="488" spans="1:50" ht="20.100000000000001" customHeight="1" x14ac:dyDescent="0.25">
      <c r="A488" s="37"/>
      <c r="B488" s="58"/>
      <c r="C488" s="37"/>
      <c r="D488" s="97"/>
      <c r="E488" s="98"/>
      <c r="F488" s="101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3"/>
      <c r="T488" s="83"/>
      <c r="U488" s="85"/>
      <c r="V488" s="83"/>
      <c r="W488" s="85"/>
      <c r="X488" s="97"/>
      <c r="Y488" s="100"/>
      <c r="Z488" s="100"/>
      <c r="AA488" s="100"/>
      <c r="AB488" s="100"/>
      <c r="AC488" s="100"/>
      <c r="AD488" s="98"/>
      <c r="AE488" s="83"/>
      <c r="AF488" s="84"/>
      <c r="AG488" s="85"/>
      <c r="AH488" s="83"/>
      <c r="AI488" s="84"/>
      <c r="AJ488" s="84"/>
      <c r="AK488" s="85"/>
      <c r="AL488" s="83"/>
      <c r="AM488" s="84"/>
      <c r="AN488" s="85"/>
      <c r="AO488" s="60"/>
      <c r="AP488" s="61"/>
      <c r="AQ488" s="77">
        <f t="shared" si="15"/>
        <v>0</v>
      </c>
      <c r="AR488" s="37"/>
      <c r="AS488" s="78">
        <f t="shared" si="16"/>
        <v>0</v>
      </c>
      <c r="AT488" s="37"/>
      <c r="AU488" s="37"/>
      <c r="AV488" s="37"/>
      <c r="AW488" s="37"/>
      <c r="AX488" s="37"/>
    </row>
    <row r="489" spans="1:50" ht="20.100000000000001" customHeight="1" x14ac:dyDescent="0.25">
      <c r="A489" s="37"/>
      <c r="B489" s="58"/>
      <c r="C489" s="37"/>
      <c r="D489" s="97"/>
      <c r="E489" s="98"/>
      <c r="F489" s="101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3"/>
      <c r="T489" s="83"/>
      <c r="U489" s="85"/>
      <c r="V489" s="83"/>
      <c r="W489" s="85"/>
      <c r="X489" s="97"/>
      <c r="Y489" s="100"/>
      <c r="Z489" s="100"/>
      <c r="AA489" s="100"/>
      <c r="AB489" s="100"/>
      <c r="AC489" s="100"/>
      <c r="AD489" s="98"/>
      <c r="AE489" s="83"/>
      <c r="AF489" s="84"/>
      <c r="AG489" s="85"/>
      <c r="AH489" s="83"/>
      <c r="AI489" s="84"/>
      <c r="AJ489" s="84"/>
      <c r="AK489" s="85"/>
      <c r="AL489" s="83"/>
      <c r="AM489" s="84"/>
      <c r="AN489" s="85"/>
      <c r="AO489" s="60"/>
      <c r="AP489" s="61"/>
      <c r="AQ489" s="77">
        <f t="shared" si="15"/>
        <v>0</v>
      </c>
      <c r="AR489" s="37"/>
      <c r="AS489" s="78">
        <f t="shared" si="16"/>
        <v>0</v>
      </c>
      <c r="AT489" s="37"/>
      <c r="AU489" s="37"/>
      <c r="AV489" s="37"/>
      <c r="AW489" s="37"/>
      <c r="AX489" s="37"/>
    </row>
    <row r="490" spans="1:50" ht="20.100000000000001" customHeight="1" x14ac:dyDescent="0.25">
      <c r="A490" s="37"/>
      <c r="B490" s="58"/>
      <c r="C490" s="37"/>
      <c r="D490" s="97"/>
      <c r="E490" s="98"/>
      <c r="F490" s="101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3"/>
      <c r="T490" s="83"/>
      <c r="U490" s="85"/>
      <c r="V490" s="83"/>
      <c r="W490" s="85"/>
      <c r="X490" s="97"/>
      <c r="Y490" s="100"/>
      <c r="Z490" s="100"/>
      <c r="AA490" s="100"/>
      <c r="AB490" s="100"/>
      <c r="AC490" s="100"/>
      <c r="AD490" s="98"/>
      <c r="AE490" s="83"/>
      <c r="AF490" s="84"/>
      <c r="AG490" s="85"/>
      <c r="AH490" s="83"/>
      <c r="AI490" s="84"/>
      <c r="AJ490" s="84"/>
      <c r="AK490" s="85"/>
      <c r="AL490" s="83"/>
      <c r="AM490" s="84"/>
      <c r="AN490" s="85"/>
      <c r="AO490" s="60"/>
      <c r="AP490" s="61"/>
      <c r="AQ490" s="77">
        <f t="shared" si="15"/>
        <v>0</v>
      </c>
      <c r="AR490" s="37"/>
      <c r="AS490" s="78">
        <f t="shared" si="16"/>
        <v>0</v>
      </c>
      <c r="AT490" s="37"/>
      <c r="AU490" s="37"/>
      <c r="AV490" s="37"/>
      <c r="AW490" s="37"/>
      <c r="AX490" s="37"/>
    </row>
    <row r="491" spans="1:50" ht="20.100000000000001" customHeight="1" x14ac:dyDescent="0.25">
      <c r="A491" s="37"/>
      <c r="B491" s="58"/>
      <c r="C491" s="37"/>
      <c r="D491" s="97"/>
      <c r="E491" s="98"/>
      <c r="F491" s="101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3"/>
      <c r="T491" s="83"/>
      <c r="U491" s="85"/>
      <c r="V491" s="83"/>
      <c r="W491" s="85"/>
      <c r="X491" s="97"/>
      <c r="Y491" s="100"/>
      <c r="Z491" s="100"/>
      <c r="AA491" s="100"/>
      <c r="AB491" s="100"/>
      <c r="AC491" s="100"/>
      <c r="AD491" s="98"/>
      <c r="AE491" s="83"/>
      <c r="AF491" s="84"/>
      <c r="AG491" s="85"/>
      <c r="AH491" s="83"/>
      <c r="AI491" s="84"/>
      <c r="AJ491" s="84"/>
      <c r="AK491" s="85"/>
      <c r="AL491" s="83"/>
      <c r="AM491" s="84"/>
      <c r="AN491" s="85"/>
      <c r="AO491" s="60"/>
      <c r="AP491" s="61"/>
      <c r="AQ491" s="77">
        <f t="shared" si="15"/>
        <v>0</v>
      </c>
      <c r="AR491" s="37"/>
      <c r="AS491" s="78">
        <f t="shared" si="16"/>
        <v>0</v>
      </c>
      <c r="AT491" s="37"/>
      <c r="AU491" s="37"/>
      <c r="AV491" s="37"/>
      <c r="AW491" s="37"/>
      <c r="AX491" s="37"/>
    </row>
    <row r="492" spans="1:50" ht="20.100000000000001" customHeight="1" x14ac:dyDescent="0.25">
      <c r="A492" s="37"/>
      <c r="B492" s="58"/>
      <c r="C492" s="37"/>
      <c r="D492" s="97"/>
      <c r="E492" s="98"/>
      <c r="F492" s="101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3"/>
      <c r="T492" s="83"/>
      <c r="U492" s="85"/>
      <c r="V492" s="83"/>
      <c r="W492" s="85"/>
      <c r="X492" s="97"/>
      <c r="Y492" s="100"/>
      <c r="Z492" s="100"/>
      <c r="AA492" s="100"/>
      <c r="AB492" s="100"/>
      <c r="AC492" s="100"/>
      <c r="AD492" s="98"/>
      <c r="AE492" s="83"/>
      <c r="AF492" s="84"/>
      <c r="AG492" s="85"/>
      <c r="AH492" s="83"/>
      <c r="AI492" s="84"/>
      <c r="AJ492" s="84"/>
      <c r="AK492" s="85"/>
      <c r="AL492" s="83"/>
      <c r="AM492" s="84"/>
      <c r="AN492" s="85"/>
      <c r="AO492" s="60"/>
      <c r="AP492" s="61"/>
      <c r="AQ492" s="77">
        <f t="shared" si="15"/>
        <v>0</v>
      </c>
      <c r="AR492" s="37"/>
      <c r="AS492" s="78">
        <f t="shared" si="16"/>
        <v>0</v>
      </c>
      <c r="AT492" s="37"/>
      <c r="AU492" s="37"/>
      <c r="AV492" s="37"/>
      <c r="AW492" s="37"/>
      <c r="AX492" s="37"/>
    </row>
    <row r="493" spans="1:50" ht="20.100000000000001" customHeight="1" x14ac:dyDescent="0.25">
      <c r="A493" s="37"/>
      <c r="B493" s="58"/>
      <c r="C493" s="37"/>
      <c r="D493" s="97"/>
      <c r="E493" s="98"/>
      <c r="F493" s="101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3"/>
      <c r="T493" s="83"/>
      <c r="U493" s="85"/>
      <c r="V493" s="83"/>
      <c r="W493" s="85"/>
      <c r="X493" s="97"/>
      <c r="Y493" s="100"/>
      <c r="Z493" s="100"/>
      <c r="AA493" s="100"/>
      <c r="AB493" s="100"/>
      <c r="AC493" s="100"/>
      <c r="AD493" s="98"/>
      <c r="AE493" s="83"/>
      <c r="AF493" s="84"/>
      <c r="AG493" s="85"/>
      <c r="AH493" s="83"/>
      <c r="AI493" s="84"/>
      <c r="AJ493" s="84"/>
      <c r="AK493" s="85"/>
      <c r="AL493" s="83"/>
      <c r="AM493" s="84"/>
      <c r="AN493" s="85"/>
      <c r="AO493" s="60"/>
      <c r="AP493" s="61"/>
      <c r="AQ493" s="77">
        <f t="shared" si="15"/>
        <v>0</v>
      </c>
      <c r="AR493" s="37"/>
      <c r="AS493" s="78">
        <f t="shared" si="16"/>
        <v>0</v>
      </c>
      <c r="AT493" s="37"/>
      <c r="AU493" s="37"/>
      <c r="AV493" s="37"/>
      <c r="AW493" s="37"/>
      <c r="AX493" s="37"/>
    </row>
    <row r="494" spans="1:50" ht="20.100000000000001" customHeight="1" x14ac:dyDescent="0.25">
      <c r="A494" s="37"/>
      <c r="B494" s="58"/>
      <c r="C494" s="37"/>
      <c r="D494" s="97"/>
      <c r="E494" s="98"/>
      <c r="F494" s="101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3"/>
      <c r="T494" s="83"/>
      <c r="U494" s="85"/>
      <c r="V494" s="83"/>
      <c r="W494" s="85"/>
      <c r="X494" s="97"/>
      <c r="Y494" s="100"/>
      <c r="Z494" s="100"/>
      <c r="AA494" s="100"/>
      <c r="AB494" s="100"/>
      <c r="AC494" s="100"/>
      <c r="AD494" s="98"/>
      <c r="AE494" s="83"/>
      <c r="AF494" s="84"/>
      <c r="AG494" s="85"/>
      <c r="AH494" s="83"/>
      <c r="AI494" s="84"/>
      <c r="AJ494" s="84"/>
      <c r="AK494" s="85"/>
      <c r="AL494" s="83"/>
      <c r="AM494" s="84"/>
      <c r="AN494" s="85"/>
      <c r="AO494" s="60"/>
      <c r="AP494" s="61"/>
      <c r="AQ494" s="77">
        <f t="shared" si="15"/>
        <v>0</v>
      </c>
      <c r="AR494" s="37"/>
      <c r="AS494" s="78">
        <f t="shared" si="16"/>
        <v>0</v>
      </c>
      <c r="AT494" s="37"/>
      <c r="AU494" s="37"/>
      <c r="AV494" s="37"/>
      <c r="AW494" s="37"/>
      <c r="AX494" s="37"/>
    </row>
    <row r="495" spans="1:50" ht="20.100000000000001" customHeight="1" x14ac:dyDescent="0.25">
      <c r="A495" s="37"/>
      <c r="B495" s="58"/>
      <c r="C495" s="37"/>
      <c r="D495" s="97"/>
      <c r="E495" s="98"/>
      <c r="F495" s="101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3"/>
      <c r="T495" s="83"/>
      <c r="U495" s="85"/>
      <c r="V495" s="83"/>
      <c r="W495" s="85"/>
      <c r="X495" s="97"/>
      <c r="Y495" s="100"/>
      <c r="Z495" s="100"/>
      <c r="AA495" s="100"/>
      <c r="AB495" s="100"/>
      <c r="AC495" s="100"/>
      <c r="AD495" s="98"/>
      <c r="AE495" s="83"/>
      <c r="AF495" s="84"/>
      <c r="AG495" s="85"/>
      <c r="AH495" s="83"/>
      <c r="AI495" s="84"/>
      <c r="AJ495" s="84"/>
      <c r="AK495" s="85"/>
      <c r="AL495" s="83"/>
      <c r="AM495" s="84"/>
      <c r="AN495" s="85"/>
      <c r="AO495" s="60"/>
      <c r="AP495" s="61"/>
      <c r="AQ495" s="77">
        <f t="shared" si="15"/>
        <v>0</v>
      </c>
      <c r="AR495" s="37"/>
      <c r="AS495" s="78">
        <f t="shared" si="16"/>
        <v>0</v>
      </c>
      <c r="AT495" s="37"/>
      <c r="AU495" s="37"/>
      <c r="AV495" s="37"/>
      <c r="AW495" s="37"/>
      <c r="AX495" s="37"/>
    </row>
    <row r="496" spans="1:50" ht="20.100000000000001" customHeight="1" x14ac:dyDescent="0.25">
      <c r="A496" s="37"/>
      <c r="B496" s="58"/>
      <c r="C496" s="37"/>
      <c r="D496" s="97"/>
      <c r="E496" s="98"/>
      <c r="F496" s="101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3"/>
      <c r="T496" s="83"/>
      <c r="U496" s="85"/>
      <c r="V496" s="83"/>
      <c r="W496" s="85"/>
      <c r="X496" s="97"/>
      <c r="Y496" s="100"/>
      <c r="Z496" s="100"/>
      <c r="AA496" s="100"/>
      <c r="AB496" s="100"/>
      <c r="AC496" s="100"/>
      <c r="AD496" s="98"/>
      <c r="AE496" s="83"/>
      <c r="AF496" s="84"/>
      <c r="AG496" s="85"/>
      <c r="AH496" s="83"/>
      <c r="AI496" s="84"/>
      <c r="AJ496" s="84"/>
      <c r="AK496" s="85"/>
      <c r="AL496" s="83"/>
      <c r="AM496" s="84"/>
      <c r="AN496" s="85"/>
      <c r="AO496" s="60"/>
      <c r="AP496" s="61"/>
      <c r="AQ496" s="77">
        <f t="shared" si="15"/>
        <v>0</v>
      </c>
      <c r="AR496" s="37"/>
      <c r="AS496" s="78">
        <f t="shared" si="16"/>
        <v>0</v>
      </c>
      <c r="AT496" s="37"/>
      <c r="AU496" s="37"/>
      <c r="AV496" s="37"/>
      <c r="AW496" s="37"/>
      <c r="AX496" s="37"/>
    </row>
    <row r="497" spans="1:50" ht="20.100000000000001" customHeight="1" x14ac:dyDescent="0.25">
      <c r="A497" s="37"/>
      <c r="B497" s="58"/>
      <c r="C497" s="37"/>
      <c r="D497" s="97"/>
      <c r="E497" s="98"/>
      <c r="F497" s="101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3"/>
      <c r="T497" s="83"/>
      <c r="U497" s="85"/>
      <c r="V497" s="83"/>
      <c r="W497" s="85"/>
      <c r="X497" s="97"/>
      <c r="Y497" s="100"/>
      <c r="Z497" s="100"/>
      <c r="AA497" s="100"/>
      <c r="AB497" s="100"/>
      <c r="AC497" s="100"/>
      <c r="AD497" s="98"/>
      <c r="AE497" s="83"/>
      <c r="AF497" s="84"/>
      <c r="AG497" s="85"/>
      <c r="AH497" s="83"/>
      <c r="AI497" s="84"/>
      <c r="AJ497" s="84"/>
      <c r="AK497" s="85"/>
      <c r="AL497" s="83"/>
      <c r="AM497" s="84"/>
      <c r="AN497" s="85"/>
      <c r="AO497" s="60"/>
      <c r="AP497" s="61"/>
      <c r="AQ497" s="77">
        <f t="shared" si="15"/>
        <v>0</v>
      </c>
      <c r="AR497" s="37"/>
      <c r="AS497" s="78">
        <f t="shared" si="16"/>
        <v>0</v>
      </c>
      <c r="AT497" s="37"/>
      <c r="AU497" s="37"/>
      <c r="AV497" s="37"/>
      <c r="AW497" s="37"/>
      <c r="AX497" s="37"/>
    </row>
    <row r="498" spans="1:50" ht="20.100000000000001" customHeight="1" x14ac:dyDescent="0.25">
      <c r="A498" s="37"/>
      <c r="B498" s="58"/>
      <c r="C498" s="37"/>
      <c r="D498" s="97"/>
      <c r="E498" s="98"/>
      <c r="F498" s="101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3"/>
      <c r="T498" s="83"/>
      <c r="U498" s="85"/>
      <c r="V498" s="83"/>
      <c r="W498" s="85"/>
      <c r="X498" s="97"/>
      <c r="Y498" s="100"/>
      <c r="Z498" s="100"/>
      <c r="AA498" s="100"/>
      <c r="AB498" s="100"/>
      <c r="AC498" s="100"/>
      <c r="AD498" s="98"/>
      <c r="AE498" s="83"/>
      <c r="AF498" s="84"/>
      <c r="AG498" s="85"/>
      <c r="AH498" s="83"/>
      <c r="AI498" s="84"/>
      <c r="AJ498" s="84"/>
      <c r="AK498" s="85"/>
      <c r="AL498" s="83"/>
      <c r="AM498" s="84"/>
      <c r="AN498" s="85"/>
      <c r="AO498" s="60"/>
      <c r="AP498" s="61"/>
      <c r="AQ498" s="77">
        <f t="shared" si="15"/>
        <v>0</v>
      </c>
      <c r="AR498" s="37"/>
      <c r="AS498" s="78">
        <f t="shared" si="16"/>
        <v>0</v>
      </c>
      <c r="AT498" s="37"/>
      <c r="AU498" s="37"/>
      <c r="AV498" s="37"/>
      <c r="AW498" s="37"/>
      <c r="AX498" s="37"/>
    </row>
    <row r="499" spans="1:50" ht="20.100000000000001" customHeight="1" x14ac:dyDescent="0.25">
      <c r="A499" s="37"/>
      <c r="B499" s="58"/>
      <c r="C499" s="37"/>
      <c r="D499" s="97"/>
      <c r="E499" s="98"/>
      <c r="F499" s="101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3"/>
      <c r="T499" s="83"/>
      <c r="U499" s="85"/>
      <c r="V499" s="83"/>
      <c r="W499" s="85"/>
      <c r="X499" s="97"/>
      <c r="Y499" s="100"/>
      <c r="Z499" s="100"/>
      <c r="AA499" s="100"/>
      <c r="AB499" s="100"/>
      <c r="AC499" s="100"/>
      <c r="AD499" s="98"/>
      <c r="AE499" s="83"/>
      <c r="AF499" s="84"/>
      <c r="AG499" s="85"/>
      <c r="AH499" s="83"/>
      <c r="AI499" s="84"/>
      <c r="AJ499" s="84"/>
      <c r="AK499" s="85"/>
      <c r="AL499" s="83"/>
      <c r="AM499" s="84"/>
      <c r="AN499" s="85"/>
      <c r="AO499" s="60"/>
      <c r="AP499" s="61"/>
      <c r="AQ499" s="77">
        <f t="shared" si="15"/>
        <v>0</v>
      </c>
      <c r="AR499" s="37"/>
      <c r="AS499" s="78">
        <f t="shared" si="16"/>
        <v>0</v>
      </c>
      <c r="AT499" s="37"/>
      <c r="AU499" s="37"/>
      <c r="AV499" s="37"/>
      <c r="AW499" s="37"/>
      <c r="AX499" s="37"/>
    </row>
    <row r="500" spans="1:50" ht="20.100000000000001" customHeight="1" x14ac:dyDescent="0.25">
      <c r="A500" s="37">
        <v>6</v>
      </c>
      <c r="B500" s="58"/>
      <c r="C500" s="37"/>
      <c r="D500" s="97"/>
      <c r="E500" s="98"/>
      <c r="F500" s="101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3"/>
      <c r="T500" s="83"/>
      <c r="U500" s="85"/>
      <c r="V500" s="83"/>
      <c r="W500" s="85"/>
      <c r="X500" s="97"/>
      <c r="Y500" s="100"/>
      <c r="Z500" s="100"/>
      <c r="AA500" s="100"/>
      <c r="AB500" s="100"/>
      <c r="AC500" s="100"/>
      <c r="AD500" s="98"/>
      <c r="AE500" s="83"/>
      <c r="AF500" s="84"/>
      <c r="AG500" s="85"/>
      <c r="AH500" s="83"/>
      <c r="AI500" s="84"/>
      <c r="AJ500" s="84"/>
      <c r="AK500" s="85"/>
      <c r="AL500" s="83"/>
      <c r="AM500" s="84"/>
      <c r="AN500" s="85"/>
      <c r="AO500" s="60"/>
      <c r="AP500" s="61"/>
      <c r="AQ500" s="77">
        <f t="shared" si="15"/>
        <v>0</v>
      </c>
      <c r="AR500" s="37"/>
      <c r="AS500" s="78">
        <f t="shared" si="16"/>
        <v>0</v>
      </c>
      <c r="AT500" s="37"/>
      <c r="AU500" s="37"/>
      <c r="AV500" s="37"/>
      <c r="AW500" s="37"/>
      <c r="AX500" s="37"/>
    </row>
    <row r="501" spans="1:50" ht="20.100000000000001" customHeight="1" x14ac:dyDescent="0.25">
      <c r="A501" s="37"/>
      <c r="B501" s="58"/>
      <c r="C501" s="37"/>
      <c r="D501" s="97"/>
      <c r="E501" s="98"/>
      <c r="F501" s="101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3"/>
      <c r="T501" s="83"/>
      <c r="U501" s="85"/>
      <c r="V501" s="83"/>
      <c r="W501" s="85"/>
      <c r="X501" s="97"/>
      <c r="Y501" s="100"/>
      <c r="Z501" s="100"/>
      <c r="AA501" s="100"/>
      <c r="AB501" s="100"/>
      <c r="AC501" s="100"/>
      <c r="AD501" s="98"/>
      <c r="AE501" s="83"/>
      <c r="AF501" s="84"/>
      <c r="AG501" s="85"/>
      <c r="AH501" s="83"/>
      <c r="AI501" s="84"/>
      <c r="AJ501" s="84"/>
      <c r="AK501" s="85"/>
      <c r="AL501" s="83"/>
      <c r="AM501" s="84"/>
      <c r="AN501" s="85"/>
      <c r="AO501" s="60"/>
      <c r="AP501" s="61"/>
      <c r="AQ501" s="77">
        <f t="shared" si="15"/>
        <v>0</v>
      </c>
      <c r="AR501" s="37"/>
      <c r="AS501" s="78">
        <f t="shared" si="16"/>
        <v>0</v>
      </c>
      <c r="AT501" s="37"/>
      <c r="AU501" s="37"/>
      <c r="AV501" s="37"/>
      <c r="AW501" s="37"/>
      <c r="AX501" s="37"/>
    </row>
    <row r="502" spans="1:50" ht="20.100000000000001" customHeight="1" x14ac:dyDescent="0.25">
      <c r="A502" s="37"/>
      <c r="B502" s="58"/>
      <c r="C502" s="37"/>
      <c r="D502" s="97"/>
      <c r="E502" s="98"/>
      <c r="F502" s="101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3"/>
      <c r="T502" s="83"/>
      <c r="U502" s="85"/>
      <c r="V502" s="83"/>
      <c r="W502" s="85"/>
      <c r="X502" s="97"/>
      <c r="Y502" s="100"/>
      <c r="Z502" s="100"/>
      <c r="AA502" s="100"/>
      <c r="AB502" s="100"/>
      <c r="AC502" s="100"/>
      <c r="AD502" s="98"/>
      <c r="AE502" s="83"/>
      <c r="AF502" s="84"/>
      <c r="AG502" s="85"/>
      <c r="AH502" s="83"/>
      <c r="AI502" s="84"/>
      <c r="AJ502" s="84"/>
      <c r="AK502" s="85"/>
      <c r="AL502" s="83"/>
      <c r="AM502" s="84"/>
      <c r="AN502" s="85"/>
      <c r="AO502" s="60"/>
      <c r="AP502" s="61"/>
      <c r="AQ502" s="77">
        <f t="shared" si="15"/>
        <v>0</v>
      </c>
      <c r="AR502" s="37"/>
      <c r="AS502" s="78">
        <f t="shared" si="16"/>
        <v>0</v>
      </c>
      <c r="AT502" s="37"/>
      <c r="AU502" s="37"/>
      <c r="AV502" s="37"/>
      <c r="AW502" s="37"/>
      <c r="AX502" s="37"/>
    </row>
    <row r="503" spans="1:50" ht="20.100000000000001" customHeight="1" x14ac:dyDescent="0.25">
      <c r="A503" s="37"/>
      <c r="B503" s="58"/>
      <c r="C503" s="37"/>
      <c r="D503" s="97"/>
      <c r="E503" s="98"/>
      <c r="F503" s="101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3"/>
      <c r="T503" s="83"/>
      <c r="U503" s="85"/>
      <c r="V503" s="83"/>
      <c r="W503" s="85"/>
      <c r="X503" s="97"/>
      <c r="Y503" s="100"/>
      <c r="Z503" s="100"/>
      <c r="AA503" s="100"/>
      <c r="AB503" s="100"/>
      <c r="AC503" s="100"/>
      <c r="AD503" s="98"/>
      <c r="AE503" s="83"/>
      <c r="AF503" s="84"/>
      <c r="AG503" s="85"/>
      <c r="AH503" s="83"/>
      <c r="AI503" s="84"/>
      <c r="AJ503" s="84"/>
      <c r="AK503" s="85"/>
      <c r="AL503" s="83"/>
      <c r="AM503" s="84"/>
      <c r="AN503" s="85"/>
      <c r="AO503" s="60"/>
      <c r="AP503" s="61"/>
      <c r="AQ503" s="77">
        <f t="shared" si="15"/>
        <v>0</v>
      </c>
      <c r="AR503" s="37"/>
      <c r="AS503" s="78">
        <f t="shared" si="16"/>
        <v>0</v>
      </c>
      <c r="AT503" s="37"/>
      <c r="AU503" s="37"/>
      <c r="AV503" s="37"/>
      <c r="AW503" s="37"/>
      <c r="AX503" s="37"/>
    </row>
    <row r="504" spans="1:50" ht="20.100000000000001" customHeight="1" x14ac:dyDescent="0.25">
      <c r="A504" s="37"/>
      <c r="B504" s="58"/>
      <c r="C504" s="37"/>
      <c r="D504" s="97"/>
      <c r="E504" s="98"/>
      <c r="F504" s="101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3"/>
      <c r="T504" s="83"/>
      <c r="U504" s="85"/>
      <c r="V504" s="83"/>
      <c r="W504" s="85"/>
      <c r="X504" s="97"/>
      <c r="Y504" s="100"/>
      <c r="Z504" s="100"/>
      <c r="AA504" s="100"/>
      <c r="AB504" s="100"/>
      <c r="AC504" s="100"/>
      <c r="AD504" s="98"/>
      <c r="AE504" s="83"/>
      <c r="AF504" s="84"/>
      <c r="AG504" s="85"/>
      <c r="AH504" s="83"/>
      <c r="AI504" s="84"/>
      <c r="AJ504" s="84"/>
      <c r="AK504" s="85"/>
      <c r="AL504" s="83"/>
      <c r="AM504" s="84"/>
      <c r="AN504" s="85"/>
      <c r="AO504" s="60"/>
      <c r="AP504" s="61"/>
      <c r="AQ504" s="77">
        <f t="shared" si="15"/>
        <v>0</v>
      </c>
      <c r="AR504" s="37"/>
      <c r="AS504" s="78">
        <f t="shared" si="16"/>
        <v>0</v>
      </c>
      <c r="AT504" s="37"/>
      <c r="AU504" s="37"/>
      <c r="AV504" s="37"/>
      <c r="AW504" s="37"/>
      <c r="AX504" s="37"/>
    </row>
    <row r="505" spans="1:50" ht="20.100000000000001" customHeight="1" x14ac:dyDescent="0.25">
      <c r="A505" s="37"/>
      <c r="B505" s="58"/>
      <c r="C505" s="37"/>
      <c r="D505" s="97"/>
      <c r="E505" s="98"/>
      <c r="F505" s="101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3"/>
      <c r="T505" s="83"/>
      <c r="U505" s="85"/>
      <c r="V505" s="83"/>
      <c r="W505" s="85"/>
      <c r="X505" s="97"/>
      <c r="Y505" s="100"/>
      <c r="Z505" s="100"/>
      <c r="AA505" s="100"/>
      <c r="AB505" s="100"/>
      <c r="AC505" s="100"/>
      <c r="AD505" s="98"/>
      <c r="AE505" s="83"/>
      <c r="AF505" s="84"/>
      <c r="AG505" s="85"/>
      <c r="AH505" s="83"/>
      <c r="AI505" s="84"/>
      <c r="AJ505" s="84"/>
      <c r="AK505" s="85"/>
      <c r="AL505" s="83"/>
      <c r="AM505" s="84"/>
      <c r="AN505" s="85"/>
      <c r="AO505" s="60"/>
      <c r="AP505" s="61"/>
      <c r="AQ505" s="77">
        <f t="shared" si="15"/>
        <v>0</v>
      </c>
      <c r="AR505" s="37"/>
      <c r="AS505" s="78">
        <f t="shared" si="16"/>
        <v>0</v>
      </c>
      <c r="AT505" s="37"/>
      <c r="AU505" s="37"/>
      <c r="AV505" s="37"/>
      <c r="AW505" s="37"/>
      <c r="AX505" s="37"/>
    </row>
    <row r="506" spans="1:50" ht="20.100000000000001" customHeight="1" x14ac:dyDescent="0.25">
      <c r="A506" s="37"/>
      <c r="B506" s="58"/>
      <c r="C506" s="37"/>
      <c r="D506" s="97"/>
      <c r="E506" s="98"/>
      <c r="F506" s="101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3"/>
      <c r="T506" s="83"/>
      <c r="U506" s="85"/>
      <c r="V506" s="83"/>
      <c r="W506" s="85"/>
      <c r="X506" s="97"/>
      <c r="Y506" s="100"/>
      <c r="Z506" s="100"/>
      <c r="AA506" s="100"/>
      <c r="AB506" s="100"/>
      <c r="AC506" s="100"/>
      <c r="AD506" s="98"/>
      <c r="AE506" s="83"/>
      <c r="AF506" s="84"/>
      <c r="AG506" s="85"/>
      <c r="AH506" s="83"/>
      <c r="AI506" s="84"/>
      <c r="AJ506" s="84"/>
      <c r="AK506" s="85"/>
      <c r="AL506" s="83"/>
      <c r="AM506" s="84"/>
      <c r="AN506" s="85"/>
      <c r="AO506" s="60"/>
      <c r="AP506" s="61"/>
      <c r="AQ506" s="77">
        <f t="shared" si="15"/>
        <v>0</v>
      </c>
      <c r="AR506" s="37"/>
      <c r="AS506" s="78">
        <f t="shared" si="16"/>
        <v>0</v>
      </c>
      <c r="AT506" s="37"/>
      <c r="AU506" s="37"/>
      <c r="AV506" s="37"/>
      <c r="AW506" s="37"/>
      <c r="AX506" s="37"/>
    </row>
    <row r="507" spans="1:50" ht="20.100000000000001" customHeight="1" x14ac:dyDescent="0.25">
      <c r="A507" s="37"/>
      <c r="B507" s="58"/>
      <c r="C507" s="37"/>
      <c r="D507" s="97"/>
      <c r="E507" s="98"/>
      <c r="F507" s="101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3"/>
      <c r="T507" s="83"/>
      <c r="U507" s="85"/>
      <c r="V507" s="83"/>
      <c r="W507" s="85"/>
      <c r="X507" s="97"/>
      <c r="Y507" s="100"/>
      <c r="Z507" s="100"/>
      <c r="AA507" s="100"/>
      <c r="AB507" s="100"/>
      <c r="AC507" s="100"/>
      <c r="AD507" s="98"/>
      <c r="AE507" s="83"/>
      <c r="AF507" s="84"/>
      <c r="AG507" s="85"/>
      <c r="AH507" s="83"/>
      <c r="AI507" s="84"/>
      <c r="AJ507" s="84"/>
      <c r="AK507" s="85"/>
      <c r="AL507" s="83"/>
      <c r="AM507" s="84"/>
      <c r="AN507" s="85"/>
      <c r="AO507" s="60"/>
      <c r="AP507" s="61"/>
      <c r="AQ507" s="77">
        <f t="shared" si="15"/>
        <v>0</v>
      </c>
      <c r="AR507" s="37"/>
      <c r="AS507" s="78">
        <f t="shared" si="16"/>
        <v>0</v>
      </c>
      <c r="AT507" s="37"/>
      <c r="AU507" s="37"/>
      <c r="AV507" s="37"/>
      <c r="AW507" s="37"/>
      <c r="AX507" s="37"/>
    </row>
    <row r="508" spans="1:50" ht="20.100000000000001" customHeight="1" x14ac:dyDescent="0.25">
      <c r="A508" s="37"/>
      <c r="B508" s="58"/>
      <c r="C508" s="37"/>
      <c r="D508" s="97"/>
      <c r="E508" s="98"/>
      <c r="F508" s="101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3"/>
      <c r="T508" s="83"/>
      <c r="U508" s="85"/>
      <c r="V508" s="83"/>
      <c r="W508" s="85"/>
      <c r="X508" s="97"/>
      <c r="Y508" s="100"/>
      <c r="Z508" s="100"/>
      <c r="AA508" s="100"/>
      <c r="AB508" s="100"/>
      <c r="AC508" s="100"/>
      <c r="AD508" s="98"/>
      <c r="AE508" s="83"/>
      <c r="AF508" s="84"/>
      <c r="AG508" s="85"/>
      <c r="AH508" s="83"/>
      <c r="AI508" s="84"/>
      <c r="AJ508" s="84"/>
      <c r="AK508" s="85"/>
      <c r="AL508" s="83"/>
      <c r="AM508" s="84"/>
      <c r="AN508" s="85"/>
      <c r="AO508" s="60"/>
      <c r="AP508" s="61"/>
      <c r="AQ508" s="77">
        <f t="shared" si="15"/>
        <v>0</v>
      </c>
      <c r="AR508" s="37"/>
      <c r="AS508" s="78">
        <f t="shared" si="16"/>
        <v>0</v>
      </c>
      <c r="AT508" s="37"/>
      <c r="AU508" s="37"/>
      <c r="AV508" s="37"/>
      <c r="AW508" s="37"/>
      <c r="AX508" s="37"/>
    </row>
    <row r="509" spans="1:50" ht="20.100000000000001" customHeight="1" x14ac:dyDescent="0.25">
      <c r="A509" s="37"/>
      <c r="B509" s="58"/>
      <c r="C509" s="37"/>
      <c r="D509" s="97"/>
      <c r="E509" s="98"/>
      <c r="F509" s="101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3"/>
      <c r="T509" s="83"/>
      <c r="U509" s="85"/>
      <c r="V509" s="83"/>
      <c r="W509" s="85"/>
      <c r="X509" s="97"/>
      <c r="Y509" s="100"/>
      <c r="Z509" s="100"/>
      <c r="AA509" s="100"/>
      <c r="AB509" s="100"/>
      <c r="AC509" s="100"/>
      <c r="AD509" s="98"/>
      <c r="AE509" s="83"/>
      <c r="AF509" s="84"/>
      <c r="AG509" s="85"/>
      <c r="AH509" s="83"/>
      <c r="AI509" s="84"/>
      <c r="AJ509" s="84"/>
      <c r="AK509" s="85"/>
      <c r="AL509" s="83"/>
      <c r="AM509" s="84"/>
      <c r="AN509" s="85"/>
      <c r="AO509" s="60"/>
      <c r="AP509" s="61"/>
      <c r="AQ509" s="77">
        <f t="shared" si="15"/>
        <v>0</v>
      </c>
      <c r="AR509" s="37"/>
      <c r="AS509" s="78">
        <f t="shared" si="16"/>
        <v>0</v>
      </c>
      <c r="AT509" s="37"/>
      <c r="AU509" s="37"/>
      <c r="AV509" s="37"/>
      <c r="AW509" s="37"/>
      <c r="AX509" s="37"/>
    </row>
    <row r="510" spans="1:50" ht="20.100000000000001" customHeight="1" x14ac:dyDescent="0.25">
      <c r="A510" s="37"/>
      <c r="B510" s="58"/>
      <c r="C510" s="37"/>
      <c r="D510" s="97"/>
      <c r="E510" s="98"/>
      <c r="F510" s="101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3"/>
      <c r="T510" s="83"/>
      <c r="U510" s="85"/>
      <c r="V510" s="83"/>
      <c r="W510" s="85"/>
      <c r="X510" s="97"/>
      <c r="Y510" s="100"/>
      <c r="Z510" s="100"/>
      <c r="AA510" s="100"/>
      <c r="AB510" s="100"/>
      <c r="AC510" s="100"/>
      <c r="AD510" s="98"/>
      <c r="AE510" s="83"/>
      <c r="AF510" s="84"/>
      <c r="AG510" s="85"/>
      <c r="AH510" s="83"/>
      <c r="AI510" s="84"/>
      <c r="AJ510" s="84"/>
      <c r="AK510" s="85"/>
      <c r="AL510" s="83"/>
      <c r="AM510" s="84"/>
      <c r="AN510" s="85"/>
      <c r="AO510" s="60"/>
      <c r="AP510" s="61"/>
      <c r="AQ510" s="77">
        <f t="shared" si="15"/>
        <v>0</v>
      </c>
      <c r="AR510" s="37"/>
      <c r="AS510" s="78">
        <f t="shared" si="16"/>
        <v>0</v>
      </c>
      <c r="AT510" s="37"/>
      <c r="AU510" s="37"/>
      <c r="AV510" s="37"/>
      <c r="AW510" s="37"/>
      <c r="AX510" s="37"/>
    </row>
    <row r="511" spans="1:50" ht="20.100000000000001" customHeight="1" x14ac:dyDescent="0.25">
      <c r="A511" s="37"/>
      <c r="B511" s="58"/>
      <c r="C511" s="37"/>
      <c r="D511" s="97"/>
      <c r="E511" s="98"/>
      <c r="F511" s="101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3"/>
      <c r="T511" s="83"/>
      <c r="U511" s="85"/>
      <c r="V511" s="83"/>
      <c r="W511" s="85"/>
      <c r="X511" s="97"/>
      <c r="Y511" s="100"/>
      <c r="Z511" s="100"/>
      <c r="AA511" s="100"/>
      <c r="AB511" s="100"/>
      <c r="AC511" s="100"/>
      <c r="AD511" s="98"/>
      <c r="AE511" s="83"/>
      <c r="AF511" s="84"/>
      <c r="AG511" s="85"/>
      <c r="AH511" s="83"/>
      <c r="AI511" s="84"/>
      <c r="AJ511" s="84"/>
      <c r="AK511" s="85"/>
      <c r="AL511" s="83"/>
      <c r="AM511" s="84"/>
      <c r="AN511" s="85"/>
      <c r="AO511" s="60"/>
      <c r="AP511" s="61"/>
      <c r="AQ511" s="77">
        <f t="shared" si="15"/>
        <v>0</v>
      </c>
      <c r="AR511" s="37"/>
      <c r="AS511" s="78">
        <f t="shared" si="16"/>
        <v>0</v>
      </c>
      <c r="AT511" s="37"/>
      <c r="AU511" s="37"/>
      <c r="AV511" s="37"/>
      <c r="AW511" s="37"/>
      <c r="AX511" s="37"/>
    </row>
    <row r="512" spans="1:50" ht="20.100000000000001" customHeight="1" x14ac:dyDescent="0.25">
      <c r="A512" s="37"/>
      <c r="B512" s="58"/>
      <c r="C512" s="37"/>
      <c r="D512" s="97"/>
      <c r="E512" s="98"/>
      <c r="F512" s="101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3"/>
      <c r="T512" s="83"/>
      <c r="U512" s="85"/>
      <c r="V512" s="83"/>
      <c r="W512" s="85"/>
      <c r="X512" s="97"/>
      <c r="Y512" s="100"/>
      <c r="Z512" s="100"/>
      <c r="AA512" s="100"/>
      <c r="AB512" s="100"/>
      <c r="AC512" s="100"/>
      <c r="AD512" s="98"/>
      <c r="AE512" s="83"/>
      <c r="AF512" s="84"/>
      <c r="AG512" s="85"/>
      <c r="AH512" s="83"/>
      <c r="AI512" s="84"/>
      <c r="AJ512" s="84"/>
      <c r="AK512" s="85"/>
      <c r="AL512" s="83"/>
      <c r="AM512" s="84"/>
      <c r="AN512" s="85"/>
      <c r="AO512" s="60"/>
      <c r="AP512" s="61"/>
      <c r="AQ512" s="77">
        <f t="shared" si="15"/>
        <v>0</v>
      </c>
      <c r="AR512" s="37"/>
      <c r="AS512" s="78">
        <f t="shared" si="16"/>
        <v>0</v>
      </c>
      <c r="AT512" s="37"/>
      <c r="AU512" s="37"/>
      <c r="AV512" s="37"/>
      <c r="AW512" s="37"/>
      <c r="AX512" s="37"/>
    </row>
    <row r="513" spans="1:50" ht="20.100000000000001" customHeight="1" x14ac:dyDescent="0.25">
      <c r="A513" s="37"/>
      <c r="B513" s="58"/>
      <c r="C513" s="37"/>
      <c r="D513" s="97"/>
      <c r="E513" s="98"/>
      <c r="F513" s="101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3"/>
      <c r="T513" s="83"/>
      <c r="U513" s="85"/>
      <c r="V513" s="83"/>
      <c r="W513" s="85"/>
      <c r="X513" s="97"/>
      <c r="Y513" s="100"/>
      <c r="Z513" s="100"/>
      <c r="AA513" s="100"/>
      <c r="AB513" s="100"/>
      <c r="AC513" s="100"/>
      <c r="AD513" s="98"/>
      <c r="AE513" s="83"/>
      <c r="AF513" s="84"/>
      <c r="AG513" s="85"/>
      <c r="AH513" s="83"/>
      <c r="AI513" s="84"/>
      <c r="AJ513" s="84"/>
      <c r="AK513" s="85"/>
      <c r="AL513" s="83"/>
      <c r="AM513" s="84"/>
      <c r="AN513" s="85"/>
      <c r="AO513" s="60"/>
      <c r="AP513" s="61"/>
      <c r="AQ513" s="77">
        <f t="shared" si="15"/>
        <v>0</v>
      </c>
      <c r="AR513" s="37"/>
      <c r="AS513" s="78">
        <f t="shared" si="16"/>
        <v>0</v>
      </c>
      <c r="AT513" s="37"/>
      <c r="AU513" s="37"/>
      <c r="AV513" s="37"/>
      <c r="AW513" s="37"/>
      <c r="AX513" s="37"/>
    </row>
    <row r="514" spans="1:50" ht="20.100000000000001" customHeight="1" x14ac:dyDescent="0.25">
      <c r="A514" s="37"/>
      <c r="B514" s="58"/>
      <c r="C514" s="37"/>
      <c r="D514" s="97"/>
      <c r="E514" s="98"/>
      <c r="F514" s="101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3"/>
      <c r="T514" s="83"/>
      <c r="U514" s="85"/>
      <c r="V514" s="83"/>
      <c r="W514" s="85"/>
      <c r="X514" s="97"/>
      <c r="Y514" s="100"/>
      <c r="Z514" s="100"/>
      <c r="AA514" s="100"/>
      <c r="AB514" s="100"/>
      <c r="AC514" s="100"/>
      <c r="AD514" s="98"/>
      <c r="AE514" s="83"/>
      <c r="AF514" s="84"/>
      <c r="AG514" s="85"/>
      <c r="AH514" s="83"/>
      <c r="AI514" s="84"/>
      <c r="AJ514" s="84"/>
      <c r="AK514" s="85"/>
      <c r="AL514" s="83"/>
      <c r="AM514" s="84"/>
      <c r="AN514" s="85"/>
      <c r="AO514" s="60"/>
      <c r="AP514" s="61"/>
      <c r="AQ514" s="77">
        <f t="shared" si="15"/>
        <v>0</v>
      </c>
      <c r="AR514" s="37"/>
      <c r="AS514" s="78">
        <f t="shared" si="16"/>
        <v>0</v>
      </c>
      <c r="AT514" s="37"/>
      <c r="AU514" s="37"/>
      <c r="AV514" s="37"/>
      <c r="AW514" s="37"/>
      <c r="AX514" s="37"/>
    </row>
    <row r="515" spans="1:50" ht="20.100000000000001" customHeight="1" x14ac:dyDescent="0.25">
      <c r="A515" s="37"/>
      <c r="B515" s="58"/>
      <c r="C515" s="37"/>
      <c r="D515" s="97"/>
      <c r="E515" s="98"/>
      <c r="F515" s="101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3"/>
      <c r="T515" s="83"/>
      <c r="U515" s="85"/>
      <c r="V515" s="83"/>
      <c r="W515" s="85"/>
      <c r="X515" s="97"/>
      <c r="Y515" s="100"/>
      <c r="Z515" s="100"/>
      <c r="AA515" s="100"/>
      <c r="AB515" s="100"/>
      <c r="AC515" s="100"/>
      <c r="AD515" s="98"/>
      <c r="AE515" s="83"/>
      <c r="AF515" s="84"/>
      <c r="AG515" s="85"/>
      <c r="AH515" s="83"/>
      <c r="AI515" s="84"/>
      <c r="AJ515" s="84"/>
      <c r="AK515" s="85"/>
      <c r="AL515" s="83"/>
      <c r="AM515" s="84"/>
      <c r="AN515" s="85"/>
      <c r="AO515" s="60"/>
      <c r="AP515" s="61"/>
      <c r="AQ515" s="77">
        <f t="shared" si="15"/>
        <v>0</v>
      </c>
      <c r="AR515" s="37"/>
      <c r="AS515" s="78">
        <f t="shared" si="16"/>
        <v>0</v>
      </c>
      <c r="AT515" s="37"/>
      <c r="AU515" s="37"/>
      <c r="AV515" s="37"/>
      <c r="AW515" s="37"/>
      <c r="AX515" s="37"/>
    </row>
    <row r="516" spans="1:50" ht="20.100000000000001" customHeight="1" x14ac:dyDescent="0.25">
      <c r="A516" s="37"/>
      <c r="B516" s="58"/>
      <c r="C516" s="37"/>
      <c r="D516" s="97"/>
      <c r="E516" s="98"/>
      <c r="F516" s="101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3"/>
      <c r="T516" s="83"/>
      <c r="U516" s="85"/>
      <c r="V516" s="83"/>
      <c r="W516" s="85"/>
      <c r="X516" s="97"/>
      <c r="Y516" s="100"/>
      <c r="Z516" s="100"/>
      <c r="AA516" s="100"/>
      <c r="AB516" s="100"/>
      <c r="AC516" s="100"/>
      <c r="AD516" s="98"/>
      <c r="AE516" s="83"/>
      <c r="AF516" s="84"/>
      <c r="AG516" s="85"/>
      <c r="AH516" s="83"/>
      <c r="AI516" s="84"/>
      <c r="AJ516" s="84"/>
      <c r="AK516" s="85"/>
      <c r="AL516" s="83"/>
      <c r="AM516" s="84"/>
      <c r="AN516" s="85"/>
      <c r="AO516" s="60"/>
      <c r="AP516" s="61"/>
      <c r="AQ516" s="77">
        <f t="shared" si="15"/>
        <v>0</v>
      </c>
      <c r="AR516" s="37"/>
      <c r="AS516" s="78">
        <f t="shared" si="16"/>
        <v>0</v>
      </c>
      <c r="AT516" s="37"/>
      <c r="AU516" s="37"/>
      <c r="AV516" s="37"/>
      <c r="AW516" s="37"/>
      <c r="AX516" s="37"/>
    </row>
    <row r="517" spans="1:50" ht="20.100000000000001" customHeight="1" x14ac:dyDescent="0.25">
      <c r="A517" s="37"/>
      <c r="B517" s="58"/>
      <c r="C517" s="37"/>
      <c r="D517" s="97"/>
      <c r="E517" s="98"/>
      <c r="F517" s="101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3"/>
      <c r="T517" s="83"/>
      <c r="U517" s="85"/>
      <c r="V517" s="83"/>
      <c r="W517" s="85"/>
      <c r="X517" s="97"/>
      <c r="Y517" s="100"/>
      <c r="Z517" s="100"/>
      <c r="AA517" s="100"/>
      <c r="AB517" s="100"/>
      <c r="AC517" s="100"/>
      <c r="AD517" s="98"/>
      <c r="AE517" s="83"/>
      <c r="AF517" s="84"/>
      <c r="AG517" s="85"/>
      <c r="AH517" s="83"/>
      <c r="AI517" s="84"/>
      <c r="AJ517" s="84"/>
      <c r="AK517" s="85"/>
      <c r="AL517" s="83"/>
      <c r="AM517" s="84"/>
      <c r="AN517" s="85"/>
      <c r="AO517" s="60"/>
      <c r="AP517" s="61"/>
      <c r="AQ517" s="77">
        <f t="shared" si="15"/>
        <v>0</v>
      </c>
      <c r="AR517" s="37"/>
      <c r="AS517" s="78">
        <f t="shared" si="16"/>
        <v>0</v>
      </c>
      <c r="AT517" s="37"/>
      <c r="AU517" s="37"/>
      <c r="AV517" s="37"/>
      <c r="AW517" s="37"/>
      <c r="AX517" s="37"/>
    </row>
    <row r="518" spans="1:50" ht="20.100000000000001" customHeight="1" x14ac:dyDescent="0.25">
      <c r="A518" s="37"/>
      <c r="B518" s="58"/>
      <c r="C518" s="37"/>
      <c r="D518" s="97"/>
      <c r="E518" s="98"/>
      <c r="F518" s="101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3"/>
      <c r="T518" s="83"/>
      <c r="U518" s="85"/>
      <c r="V518" s="83"/>
      <c r="W518" s="85"/>
      <c r="X518" s="97"/>
      <c r="Y518" s="100"/>
      <c r="Z518" s="100"/>
      <c r="AA518" s="100"/>
      <c r="AB518" s="100"/>
      <c r="AC518" s="100"/>
      <c r="AD518" s="98"/>
      <c r="AE518" s="83"/>
      <c r="AF518" s="84"/>
      <c r="AG518" s="85"/>
      <c r="AH518" s="83"/>
      <c r="AI518" s="84"/>
      <c r="AJ518" s="84"/>
      <c r="AK518" s="85"/>
      <c r="AL518" s="83"/>
      <c r="AM518" s="84"/>
      <c r="AN518" s="85"/>
      <c r="AO518" s="60"/>
      <c r="AP518" s="61"/>
      <c r="AQ518" s="77">
        <f t="shared" ref="AQ518:AQ581" si="17">AP518-B518</f>
        <v>0</v>
      </c>
      <c r="AR518" s="37"/>
      <c r="AS518" s="78">
        <f t="shared" si="16"/>
        <v>0</v>
      </c>
      <c r="AT518" s="37"/>
      <c r="AU518" s="37"/>
      <c r="AV518" s="37"/>
      <c r="AW518" s="37"/>
      <c r="AX518" s="37"/>
    </row>
    <row r="519" spans="1:50" ht="20.100000000000001" customHeight="1" x14ac:dyDescent="0.25">
      <c r="A519" s="37"/>
      <c r="B519" s="58"/>
      <c r="C519" s="37"/>
      <c r="D519" s="97"/>
      <c r="E519" s="98"/>
      <c r="F519" s="101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3"/>
      <c r="T519" s="83"/>
      <c r="U519" s="85"/>
      <c r="V519" s="83"/>
      <c r="W519" s="85"/>
      <c r="X519" s="97"/>
      <c r="Y519" s="100"/>
      <c r="Z519" s="100"/>
      <c r="AA519" s="100"/>
      <c r="AB519" s="100"/>
      <c r="AC519" s="100"/>
      <c r="AD519" s="98"/>
      <c r="AE519" s="83"/>
      <c r="AF519" s="84"/>
      <c r="AG519" s="85"/>
      <c r="AH519" s="83"/>
      <c r="AI519" s="84"/>
      <c r="AJ519" s="84"/>
      <c r="AK519" s="85"/>
      <c r="AL519" s="83"/>
      <c r="AM519" s="84"/>
      <c r="AN519" s="85"/>
      <c r="AO519" s="60"/>
      <c r="AP519" s="61"/>
      <c r="AQ519" s="77">
        <f t="shared" si="17"/>
        <v>0</v>
      </c>
      <c r="AR519" s="37"/>
      <c r="AS519" s="78">
        <f t="shared" ref="AS519:AS582" si="18">AP519-AR519</f>
        <v>0</v>
      </c>
      <c r="AT519" s="37"/>
      <c r="AU519" s="37"/>
      <c r="AV519" s="37"/>
      <c r="AW519" s="37"/>
      <c r="AX519" s="37"/>
    </row>
    <row r="520" spans="1:50" ht="20.100000000000001" customHeight="1" x14ac:dyDescent="0.25">
      <c r="A520" s="37"/>
      <c r="B520" s="58"/>
      <c r="C520" s="37"/>
      <c r="D520" s="97"/>
      <c r="E520" s="98"/>
      <c r="F520" s="101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3"/>
      <c r="T520" s="83"/>
      <c r="U520" s="85"/>
      <c r="V520" s="83"/>
      <c r="W520" s="85"/>
      <c r="X520" s="97"/>
      <c r="Y520" s="100"/>
      <c r="Z520" s="100"/>
      <c r="AA520" s="100"/>
      <c r="AB520" s="100"/>
      <c r="AC520" s="100"/>
      <c r="AD520" s="98"/>
      <c r="AE520" s="83"/>
      <c r="AF520" s="84"/>
      <c r="AG520" s="85"/>
      <c r="AH520" s="83"/>
      <c r="AI520" s="84"/>
      <c r="AJ520" s="84"/>
      <c r="AK520" s="85"/>
      <c r="AL520" s="83"/>
      <c r="AM520" s="84"/>
      <c r="AN520" s="85"/>
      <c r="AO520" s="60"/>
      <c r="AP520" s="61"/>
      <c r="AQ520" s="77">
        <f t="shared" si="17"/>
        <v>0</v>
      </c>
      <c r="AR520" s="37"/>
      <c r="AS520" s="78">
        <f t="shared" si="18"/>
        <v>0</v>
      </c>
      <c r="AT520" s="37"/>
      <c r="AU520" s="37"/>
      <c r="AV520" s="37"/>
      <c r="AW520" s="37"/>
      <c r="AX520" s="37"/>
    </row>
    <row r="521" spans="1:50" ht="20.100000000000001" customHeight="1" x14ac:dyDescent="0.25">
      <c r="A521" s="37"/>
      <c r="B521" s="58"/>
      <c r="C521" s="37"/>
      <c r="D521" s="97"/>
      <c r="E521" s="98"/>
      <c r="F521" s="101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3"/>
      <c r="T521" s="83"/>
      <c r="U521" s="85"/>
      <c r="V521" s="83"/>
      <c r="W521" s="85"/>
      <c r="X521" s="97"/>
      <c r="Y521" s="100"/>
      <c r="Z521" s="100"/>
      <c r="AA521" s="100"/>
      <c r="AB521" s="100"/>
      <c r="AC521" s="100"/>
      <c r="AD521" s="98"/>
      <c r="AE521" s="83"/>
      <c r="AF521" s="84"/>
      <c r="AG521" s="85"/>
      <c r="AH521" s="83"/>
      <c r="AI521" s="84"/>
      <c r="AJ521" s="84"/>
      <c r="AK521" s="85"/>
      <c r="AL521" s="83"/>
      <c r="AM521" s="84"/>
      <c r="AN521" s="85"/>
      <c r="AO521" s="60"/>
      <c r="AP521" s="61"/>
      <c r="AQ521" s="77">
        <f t="shared" si="17"/>
        <v>0</v>
      </c>
      <c r="AR521" s="37"/>
      <c r="AS521" s="78">
        <f t="shared" si="18"/>
        <v>0</v>
      </c>
      <c r="AT521" s="37"/>
      <c r="AU521" s="37"/>
      <c r="AV521" s="37"/>
      <c r="AW521" s="37"/>
      <c r="AX521" s="37"/>
    </row>
    <row r="522" spans="1:50" ht="20.100000000000001" customHeight="1" x14ac:dyDescent="0.25">
      <c r="A522" s="37"/>
      <c r="B522" s="58"/>
      <c r="C522" s="37"/>
      <c r="D522" s="97"/>
      <c r="E522" s="98"/>
      <c r="F522" s="101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3"/>
      <c r="T522" s="83"/>
      <c r="U522" s="85"/>
      <c r="V522" s="83"/>
      <c r="W522" s="85"/>
      <c r="X522" s="97"/>
      <c r="Y522" s="100"/>
      <c r="Z522" s="100"/>
      <c r="AA522" s="100"/>
      <c r="AB522" s="100"/>
      <c r="AC522" s="100"/>
      <c r="AD522" s="98"/>
      <c r="AE522" s="83"/>
      <c r="AF522" s="84"/>
      <c r="AG522" s="85"/>
      <c r="AH522" s="83"/>
      <c r="AI522" s="84"/>
      <c r="AJ522" s="84"/>
      <c r="AK522" s="85"/>
      <c r="AL522" s="83"/>
      <c r="AM522" s="84"/>
      <c r="AN522" s="85"/>
      <c r="AO522" s="60"/>
      <c r="AP522" s="61"/>
      <c r="AQ522" s="77">
        <f t="shared" si="17"/>
        <v>0</v>
      </c>
      <c r="AR522" s="37"/>
      <c r="AS522" s="78">
        <f t="shared" si="18"/>
        <v>0</v>
      </c>
      <c r="AT522" s="37"/>
      <c r="AU522" s="37"/>
      <c r="AV522" s="37"/>
      <c r="AW522" s="37"/>
      <c r="AX522" s="37"/>
    </row>
    <row r="523" spans="1:50" ht="20.100000000000001" customHeight="1" x14ac:dyDescent="0.25">
      <c r="A523" s="37"/>
      <c r="B523" s="58"/>
      <c r="C523" s="37"/>
      <c r="D523" s="97"/>
      <c r="E523" s="98"/>
      <c r="F523" s="101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3"/>
      <c r="T523" s="83"/>
      <c r="U523" s="85"/>
      <c r="V523" s="83"/>
      <c r="W523" s="85"/>
      <c r="X523" s="97"/>
      <c r="Y523" s="100"/>
      <c r="Z523" s="100"/>
      <c r="AA523" s="100"/>
      <c r="AB523" s="100"/>
      <c r="AC523" s="100"/>
      <c r="AD523" s="98"/>
      <c r="AE523" s="83"/>
      <c r="AF523" s="84"/>
      <c r="AG523" s="85"/>
      <c r="AH523" s="83"/>
      <c r="AI523" s="84"/>
      <c r="AJ523" s="84"/>
      <c r="AK523" s="85"/>
      <c r="AL523" s="83"/>
      <c r="AM523" s="84"/>
      <c r="AN523" s="85"/>
      <c r="AO523" s="60"/>
      <c r="AP523" s="61"/>
      <c r="AQ523" s="77">
        <f t="shared" si="17"/>
        <v>0</v>
      </c>
      <c r="AR523" s="37"/>
      <c r="AS523" s="78">
        <f t="shared" si="18"/>
        <v>0</v>
      </c>
      <c r="AT523" s="37"/>
      <c r="AU523" s="37"/>
      <c r="AV523" s="37"/>
      <c r="AW523" s="37"/>
      <c r="AX523" s="37"/>
    </row>
    <row r="524" spans="1:50" ht="20.100000000000001" customHeight="1" x14ac:dyDescent="0.25">
      <c r="A524" s="37"/>
      <c r="B524" s="58"/>
      <c r="C524" s="37"/>
      <c r="D524" s="97"/>
      <c r="E524" s="98"/>
      <c r="F524" s="101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3"/>
      <c r="T524" s="83"/>
      <c r="U524" s="85"/>
      <c r="V524" s="83"/>
      <c r="W524" s="85"/>
      <c r="X524" s="97"/>
      <c r="Y524" s="100"/>
      <c r="Z524" s="100"/>
      <c r="AA524" s="100"/>
      <c r="AB524" s="100"/>
      <c r="AC524" s="100"/>
      <c r="AD524" s="98"/>
      <c r="AE524" s="83"/>
      <c r="AF524" s="84"/>
      <c r="AG524" s="85"/>
      <c r="AH524" s="83"/>
      <c r="AI524" s="84"/>
      <c r="AJ524" s="84"/>
      <c r="AK524" s="85"/>
      <c r="AL524" s="83"/>
      <c r="AM524" s="84"/>
      <c r="AN524" s="85"/>
      <c r="AO524" s="60"/>
      <c r="AP524" s="61"/>
      <c r="AQ524" s="77">
        <f t="shared" si="17"/>
        <v>0</v>
      </c>
      <c r="AR524" s="37"/>
      <c r="AS524" s="78">
        <f t="shared" si="18"/>
        <v>0</v>
      </c>
      <c r="AT524" s="37"/>
      <c r="AU524" s="37"/>
      <c r="AV524" s="37"/>
      <c r="AW524" s="37"/>
      <c r="AX524" s="37"/>
    </row>
    <row r="525" spans="1:50" ht="20.100000000000001" customHeight="1" x14ac:dyDescent="0.25">
      <c r="A525" s="37"/>
      <c r="B525" s="58"/>
      <c r="C525" s="37"/>
      <c r="D525" s="97"/>
      <c r="E525" s="98"/>
      <c r="F525" s="101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3"/>
      <c r="T525" s="83"/>
      <c r="U525" s="85"/>
      <c r="V525" s="83"/>
      <c r="W525" s="85"/>
      <c r="X525" s="97"/>
      <c r="Y525" s="100"/>
      <c r="Z525" s="100"/>
      <c r="AA525" s="100"/>
      <c r="AB525" s="100"/>
      <c r="AC525" s="100"/>
      <c r="AD525" s="98"/>
      <c r="AE525" s="83"/>
      <c r="AF525" s="84"/>
      <c r="AG525" s="85"/>
      <c r="AH525" s="83"/>
      <c r="AI525" s="84"/>
      <c r="AJ525" s="84"/>
      <c r="AK525" s="85"/>
      <c r="AL525" s="83"/>
      <c r="AM525" s="84"/>
      <c r="AN525" s="85"/>
      <c r="AO525" s="60"/>
      <c r="AP525" s="61"/>
      <c r="AQ525" s="77">
        <f t="shared" si="17"/>
        <v>0</v>
      </c>
      <c r="AR525" s="37"/>
      <c r="AS525" s="78">
        <f t="shared" si="18"/>
        <v>0</v>
      </c>
      <c r="AT525" s="37"/>
      <c r="AU525" s="37"/>
      <c r="AV525" s="37"/>
      <c r="AW525" s="37"/>
      <c r="AX525" s="37"/>
    </row>
    <row r="526" spans="1:50" ht="20.100000000000001" customHeight="1" x14ac:dyDescent="0.25">
      <c r="A526" s="37"/>
      <c r="B526" s="58"/>
      <c r="C526" s="37"/>
      <c r="D526" s="97"/>
      <c r="E526" s="98"/>
      <c r="F526" s="101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3"/>
      <c r="T526" s="83"/>
      <c r="U526" s="85"/>
      <c r="V526" s="83"/>
      <c r="W526" s="85"/>
      <c r="X526" s="97"/>
      <c r="Y526" s="100"/>
      <c r="Z526" s="100"/>
      <c r="AA526" s="100"/>
      <c r="AB526" s="100"/>
      <c r="AC526" s="100"/>
      <c r="AD526" s="98"/>
      <c r="AE526" s="83"/>
      <c r="AF526" s="84"/>
      <c r="AG526" s="85"/>
      <c r="AH526" s="83"/>
      <c r="AI526" s="84"/>
      <c r="AJ526" s="84"/>
      <c r="AK526" s="85"/>
      <c r="AL526" s="83"/>
      <c r="AM526" s="84"/>
      <c r="AN526" s="85"/>
      <c r="AO526" s="60"/>
      <c r="AP526" s="61"/>
      <c r="AQ526" s="77">
        <f t="shared" si="17"/>
        <v>0</v>
      </c>
      <c r="AR526" s="37"/>
      <c r="AS526" s="78">
        <f t="shared" si="18"/>
        <v>0</v>
      </c>
      <c r="AT526" s="37"/>
      <c r="AU526" s="37"/>
      <c r="AV526" s="37"/>
      <c r="AW526" s="37"/>
      <c r="AX526" s="37"/>
    </row>
    <row r="527" spans="1:50" ht="20.100000000000001" customHeight="1" x14ac:dyDescent="0.25">
      <c r="A527" s="37"/>
      <c r="B527" s="58"/>
      <c r="C527" s="37"/>
      <c r="D527" s="97"/>
      <c r="E527" s="98"/>
      <c r="F527" s="101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3"/>
      <c r="T527" s="83"/>
      <c r="U527" s="85"/>
      <c r="V527" s="83"/>
      <c r="W527" s="85"/>
      <c r="X527" s="97"/>
      <c r="Y527" s="100"/>
      <c r="Z527" s="100"/>
      <c r="AA527" s="100"/>
      <c r="AB527" s="100"/>
      <c r="AC527" s="100"/>
      <c r="AD527" s="98"/>
      <c r="AE527" s="83"/>
      <c r="AF527" s="84"/>
      <c r="AG527" s="85"/>
      <c r="AH527" s="83"/>
      <c r="AI527" s="84"/>
      <c r="AJ527" s="84"/>
      <c r="AK527" s="85"/>
      <c r="AL527" s="83"/>
      <c r="AM527" s="84"/>
      <c r="AN527" s="85"/>
      <c r="AO527" s="60"/>
      <c r="AP527" s="61"/>
      <c r="AQ527" s="77">
        <f t="shared" si="17"/>
        <v>0</v>
      </c>
      <c r="AR527" s="37"/>
      <c r="AS527" s="78">
        <f t="shared" si="18"/>
        <v>0</v>
      </c>
      <c r="AT527" s="37"/>
      <c r="AU527" s="37"/>
      <c r="AV527" s="37"/>
      <c r="AW527" s="37"/>
      <c r="AX527" s="37"/>
    </row>
    <row r="528" spans="1:50" ht="20.100000000000001" customHeight="1" x14ac:dyDescent="0.25">
      <c r="A528" s="37"/>
      <c r="B528" s="58"/>
      <c r="C528" s="37"/>
      <c r="D528" s="97"/>
      <c r="E528" s="98"/>
      <c r="F528" s="101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3"/>
      <c r="T528" s="83"/>
      <c r="U528" s="85"/>
      <c r="V528" s="83"/>
      <c r="W528" s="85"/>
      <c r="X528" s="97"/>
      <c r="Y528" s="100"/>
      <c r="Z528" s="100"/>
      <c r="AA528" s="100"/>
      <c r="AB528" s="100"/>
      <c r="AC528" s="100"/>
      <c r="AD528" s="98"/>
      <c r="AE528" s="83"/>
      <c r="AF528" s="84"/>
      <c r="AG528" s="85"/>
      <c r="AH528" s="83"/>
      <c r="AI528" s="84"/>
      <c r="AJ528" s="84"/>
      <c r="AK528" s="85"/>
      <c r="AL528" s="83"/>
      <c r="AM528" s="84"/>
      <c r="AN528" s="85"/>
      <c r="AO528" s="60"/>
      <c r="AP528" s="61"/>
      <c r="AQ528" s="77">
        <f t="shared" si="17"/>
        <v>0</v>
      </c>
      <c r="AR528" s="37"/>
      <c r="AS528" s="78">
        <f t="shared" si="18"/>
        <v>0</v>
      </c>
      <c r="AT528" s="37"/>
      <c r="AU528" s="37"/>
      <c r="AV528" s="37"/>
      <c r="AW528" s="37"/>
      <c r="AX528" s="37"/>
    </row>
    <row r="529" spans="1:50" ht="20.100000000000001" customHeight="1" x14ac:dyDescent="0.25">
      <c r="A529" s="37"/>
      <c r="B529" s="58"/>
      <c r="C529" s="37"/>
      <c r="D529" s="97"/>
      <c r="E529" s="98"/>
      <c r="F529" s="101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3"/>
      <c r="T529" s="83"/>
      <c r="U529" s="85"/>
      <c r="V529" s="83"/>
      <c r="W529" s="85"/>
      <c r="X529" s="97"/>
      <c r="Y529" s="100"/>
      <c r="Z529" s="100"/>
      <c r="AA529" s="100"/>
      <c r="AB529" s="100"/>
      <c r="AC529" s="100"/>
      <c r="AD529" s="98"/>
      <c r="AE529" s="83"/>
      <c r="AF529" s="84"/>
      <c r="AG529" s="85"/>
      <c r="AH529" s="83"/>
      <c r="AI529" s="84"/>
      <c r="AJ529" s="84"/>
      <c r="AK529" s="85"/>
      <c r="AL529" s="83"/>
      <c r="AM529" s="84"/>
      <c r="AN529" s="85"/>
      <c r="AO529" s="60"/>
      <c r="AP529" s="61"/>
      <c r="AQ529" s="77">
        <f t="shared" si="17"/>
        <v>0</v>
      </c>
      <c r="AR529" s="37"/>
      <c r="AS529" s="78">
        <f t="shared" si="18"/>
        <v>0</v>
      </c>
      <c r="AT529" s="37"/>
      <c r="AU529" s="37"/>
      <c r="AV529" s="37"/>
      <c r="AW529" s="37"/>
      <c r="AX529" s="37"/>
    </row>
    <row r="530" spans="1:50" ht="20.100000000000001" customHeight="1" x14ac:dyDescent="0.25">
      <c r="A530" s="37"/>
      <c r="B530" s="58"/>
      <c r="C530" s="37"/>
      <c r="D530" s="97"/>
      <c r="E530" s="98"/>
      <c r="F530" s="101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3"/>
      <c r="T530" s="83"/>
      <c r="U530" s="85"/>
      <c r="V530" s="83"/>
      <c r="W530" s="85"/>
      <c r="X530" s="97"/>
      <c r="Y530" s="100"/>
      <c r="Z530" s="100"/>
      <c r="AA530" s="100"/>
      <c r="AB530" s="100"/>
      <c r="AC530" s="100"/>
      <c r="AD530" s="98"/>
      <c r="AE530" s="83"/>
      <c r="AF530" s="84"/>
      <c r="AG530" s="85"/>
      <c r="AH530" s="83"/>
      <c r="AI530" s="84"/>
      <c r="AJ530" s="84"/>
      <c r="AK530" s="85"/>
      <c r="AL530" s="83"/>
      <c r="AM530" s="84"/>
      <c r="AN530" s="85"/>
      <c r="AO530" s="60"/>
      <c r="AP530" s="61"/>
      <c r="AQ530" s="77">
        <f t="shared" si="17"/>
        <v>0</v>
      </c>
      <c r="AR530" s="37"/>
      <c r="AS530" s="78">
        <f t="shared" si="18"/>
        <v>0</v>
      </c>
      <c r="AT530" s="37"/>
      <c r="AU530" s="37"/>
      <c r="AV530" s="37"/>
      <c r="AW530" s="37"/>
      <c r="AX530" s="37"/>
    </row>
    <row r="531" spans="1:50" ht="20.100000000000001" customHeight="1" x14ac:dyDescent="0.25">
      <c r="A531" s="37"/>
      <c r="B531" s="58"/>
      <c r="C531" s="37"/>
      <c r="D531" s="97"/>
      <c r="E531" s="98"/>
      <c r="F531" s="101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3"/>
      <c r="T531" s="83"/>
      <c r="U531" s="85"/>
      <c r="V531" s="83"/>
      <c r="W531" s="85"/>
      <c r="X531" s="97"/>
      <c r="Y531" s="100"/>
      <c r="Z531" s="100"/>
      <c r="AA531" s="100"/>
      <c r="AB531" s="100"/>
      <c r="AC531" s="100"/>
      <c r="AD531" s="98"/>
      <c r="AE531" s="83"/>
      <c r="AF531" s="84"/>
      <c r="AG531" s="85"/>
      <c r="AH531" s="83"/>
      <c r="AI531" s="84"/>
      <c r="AJ531" s="84"/>
      <c r="AK531" s="85"/>
      <c r="AL531" s="83"/>
      <c r="AM531" s="84"/>
      <c r="AN531" s="85"/>
      <c r="AO531" s="60"/>
      <c r="AP531" s="61"/>
      <c r="AQ531" s="77">
        <f t="shared" si="17"/>
        <v>0</v>
      </c>
      <c r="AR531" s="37"/>
      <c r="AS531" s="78">
        <f t="shared" si="18"/>
        <v>0</v>
      </c>
      <c r="AT531" s="37"/>
      <c r="AU531" s="37"/>
      <c r="AV531" s="37"/>
      <c r="AW531" s="37"/>
      <c r="AX531" s="37"/>
    </row>
    <row r="532" spans="1:50" ht="20.100000000000001" customHeight="1" x14ac:dyDescent="0.25">
      <c r="A532" s="37"/>
      <c r="B532" s="58"/>
      <c r="C532" s="37"/>
      <c r="D532" s="97"/>
      <c r="E532" s="98"/>
      <c r="F532" s="101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3"/>
      <c r="T532" s="83"/>
      <c r="U532" s="85"/>
      <c r="V532" s="83"/>
      <c r="W532" s="85"/>
      <c r="X532" s="97"/>
      <c r="Y532" s="100"/>
      <c r="Z532" s="100"/>
      <c r="AA532" s="100"/>
      <c r="AB532" s="100"/>
      <c r="AC532" s="100"/>
      <c r="AD532" s="98"/>
      <c r="AE532" s="83"/>
      <c r="AF532" s="84"/>
      <c r="AG532" s="85"/>
      <c r="AH532" s="83"/>
      <c r="AI532" s="84"/>
      <c r="AJ532" s="84"/>
      <c r="AK532" s="85"/>
      <c r="AL532" s="83"/>
      <c r="AM532" s="84"/>
      <c r="AN532" s="85"/>
      <c r="AO532" s="60"/>
      <c r="AP532" s="61"/>
      <c r="AQ532" s="77">
        <f t="shared" si="17"/>
        <v>0</v>
      </c>
      <c r="AR532" s="37"/>
      <c r="AS532" s="78">
        <f t="shared" si="18"/>
        <v>0</v>
      </c>
      <c r="AT532" s="37"/>
      <c r="AU532" s="37"/>
      <c r="AV532" s="37"/>
      <c r="AW532" s="37"/>
      <c r="AX532" s="37"/>
    </row>
    <row r="533" spans="1:50" ht="20.100000000000001" customHeight="1" x14ac:dyDescent="0.25">
      <c r="A533" s="37"/>
      <c r="B533" s="58"/>
      <c r="C533" s="37"/>
      <c r="D533" s="97"/>
      <c r="E533" s="98"/>
      <c r="F533" s="101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3"/>
      <c r="T533" s="83"/>
      <c r="U533" s="85"/>
      <c r="V533" s="83"/>
      <c r="W533" s="85"/>
      <c r="X533" s="97"/>
      <c r="Y533" s="100"/>
      <c r="Z533" s="100"/>
      <c r="AA533" s="100"/>
      <c r="AB533" s="100"/>
      <c r="AC533" s="100"/>
      <c r="AD533" s="98"/>
      <c r="AE533" s="83"/>
      <c r="AF533" s="84"/>
      <c r="AG533" s="85"/>
      <c r="AH533" s="83"/>
      <c r="AI533" s="84"/>
      <c r="AJ533" s="84"/>
      <c r="AK533" s="85"/>
      <c r="AL533" s="83"/>
      <c r="AM533" s="84"/>
      <c r="AN533" s="85"/>
      <c r="AO533" s="60"/>
      <c r="AP533" s="61"/>
      <c r="AQ533" s="77">
        <f t="shared" si="17"/>
        <v>0</v>
      </c>
      <c r="AR533" s="37"/>
      <c r="AS533" s="78">
        <f t="shared" si="18"/>
        <v>0</v>
      </c>
      <c r="AT533" s="37"/>
      <c r="AU533" s="37"/>
      <c r="AV533" s="37"/>
      <c r="AW533" s="37"/>
      <c r="AX533" s="37"/>
    </row>
    <row r="534" spans="1:50" ht="20.100000000000001" customHeight="1" x14ac:dyDescent="0.25">
      <c r="A534" s="37"/>
      <c r="B534" s="58"/>
      <c r="C534" s="37"/>
      <c r="D534" s="97"/>
      <c r="E534" s="98"/>
      <c r="F534" s="101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3"/>
      <c r="T534" s="83"/>
      <c r="U534" s="85"/>
      <c r="V534" s="83"/>
      <c r="W534" s="85"/>
      <c r="X534" s="97"/>
      <c r="Y534" s="100"/>
      <c r="Z534" s="100"/>
      <c r="AA534" s="100"/>
      <c r="AB534" s="100"/>
      <c r="AC534" s="100"/>
      <c r="AD534" s="98"/>
      <c r="AE534" s="83"/>
      <c r="AF534" s="84"/>
      <c r="AG534" s="85"/>
      <c r="AH534" s="83"/>
      <c r="AI534" s="84"/>
      <c r="AJ534" s="84"/>
      <c r="AK534" s="85"/>
      <c r="AL534" s="83"/>
      <c r="AM534" s="84"/>
      <c r="AN534" s="85"/>
      <c r="AO534" s="60"/>
      <c r="AP534" s="61"/>
      <c r="AQ534" s="77">
        <f t="shared" si="17"/>
        <v>0</v>
      </c>
      <c r="AR534" s="37"/>
      <c r="AS534" s="78">
        <f t="shared" si="18"/>
        <v>0</v>
      </c>
      <c r="AT534" s="37"/>
      <c r="AU534" s="37"/>
      <c r="AV534" s="37"/>
      <c r="AW534" s="37"/>
      <c r="AX534" s="37"/>
    </row>
    <row r="535" spans="1:50" ht="20.100000000000001" customHeight="1" x14ac:dyDescent="0.25">
      <c r="A535" s="37"/>
      <c r="B535" s="58"/>
      <c r="C535" s="37"/>
      <c r="D535" s="97"/>
      <c r="E535" s="98"/>
      <c r="F535" s="101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3"/>
      <c r="T535" s="83"/>
      <c r="U535" s="85"/>
      <c r="V535" s="83"/>
      <c r="W535" s="85"/>
      <c r="X535" s="97"/>
      <c r="Y535" s="100"/>
      <c r="Z535" s="100"/>
      <c r="AA535" s="100"/>
      <c r="AB535" s="100"/>
      <c r="AC535" s="100"/>
      <c r="AD535" s="98"/>
      <c r="AE535" s="83"/>
      <c r="AF535" s="84"/>
      <c r="AG535" s="85"/>
      <c r="AH535" s="83"/>
      <c r="AI535" s="84"/>
      <c r="AJ535" s="84"/>
      <c r="AK535" s="85"/>
      <c r="AL535" s="83"/>
      <c r="AM535" s="84"/>
      <c r="AN535" s="85"/>
      <c r="AO535" s="60"/>
      <c r="AP535" s="61"/>
      <c r="AQ535" s="77">
        <f t="shared" si="17"/>
        <v>0</v>
      </c>
      <c r="AR535" s="37"/>
      <c r="AS535" s="78">
        <f t="shared" si="18"/>
        <v>0</v>
      </c>
      <c r="AT535" s="37"/>
      <c r="AU535" s="37"/>
      <c r="AV535" s="37"/>
      <c r="AW535" s="37"/>
      <c r="AX535" s="37"/>
    </row>
    <row r="536" spans="1:50" ht="20.100000000000001" customHeight="1" x14ac:dyDescent="0.25">
      <c r="A536" s="37"/>
      <c r="B536" s="58"/>
      <c r="C536" s="37"/>
      <c r="D536" s="97"/>
      <c r="E536" s="98"/>
      <c r="F536" s="101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3"/>
      <c r="T536" s="83"/>
      <c r="U536" s="85"/>
      <c r="V536" s="83"/>
      <c r="W536" s="85"/>
      <c r="X536" s="97"/>
      <c r="Y536" s="100"/>
      <c r="Z536" s="100"/>
      <c r="AA536" s="100"/>
      <c r="AB536" s="100"/>
      <c r="AC536" s="100"/>
      <c r="AD536" s="98"/>
      <c r="AE536" s="83"/>
      <c r="AF536" s="84"/>
      <c r="AG536" s="85"/>
      <c r="AH536" s="83"/>
      <c r="AI536" s="84"/>
      <c r="AJ536" s="84"/>
      <c r="AK536" s="85"/>
      <c r="AL536" s="83"/>
      <c r="AM536" s="84"/>
      <c r="AN536" s="85"/>
      <c r="AO536" s="60"/>
      <c r="AP536" s="61"/>
      <c r="AQ536" s="77">
        <f t="shared" si="17"/>
        <v>0</v>
      </c>
      <c r="AR536" s="37"/>
      <c r="AS536" s="78">
        <f t="shared" si="18"/>
        <v>0</v>
      </c>
      <c r="AT536" s="37"/>
      <c r="AU536" s="37"/>
      <c r="AV536" s="37"/>
      <c r="AW536" s="37"/>
      <c r="AX536" s="37"/>
    </row>
    <row r="537" spans="1:50" ht="20.100000000000001" customHeight="1" x14ac:dyDescent="0.25">
      <c r="A537" s="37"/>
      <c r="B537" s="58"/>
      <c r="C537" s="37"/>
      <c r="D537" s="97"/>
      <c r="E537" s="98"/>
      <c r="F537" s="101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3"/>
      <c r="T537" s="83"/>
      <c r="U537" s="85"/>
      <c r="V537" s="83"/>
      <c r="W537" s="85"/>
      <c r="X537" s="97"/>
      <c r="Y537" s="100"/>
      <c r="Z537" s="100"/>
      <c r="AA537" s="100"/>
      <c r="AB537" s="100"/>
      <c r="AC537" s="100"/>
      <c r="AD537" s="98"/>
      <c r="AE537" s="83"/>
      <c r="AF537" s="84"/>
      <c r="AG537" s="85"/>
      <c r="AH537" s="83"/>
      <c r="AI537" s="84"/>
      <c r="AJ537" s="84"/>
      <c r="AK537" s="85"/>
      <c r="AL537" s="83"/>
      <c r="AM537" s="84"/>
      <c r="AN537" s="85"/>
      <c r="AO537" s="60"/>
      <c r="AP537" s="61"/>
      <c r="AQ537" s="77">
        <f t="shared" si="17"/>
        <v>0</v>
      </c>
      <c r="AR537" s="37"/>
      <c r="AS537" s="78">
        <f t="shared" si="18"/>
        <v>0</v>
      </c>
      <c r="AT537" s="37"/>
      <c r="AU537" s="37"/>
      <c r="AV537" s="37"/>
      <c r="AW537" s="37"/>
      <c r="AX537" s="37"/>
    </row>
    <row r="538" spans="1:50" ht="20.100000000000001" customHeight="1" x14ac:dyDescent="0.25">
      <c r="A538" s="37"/>
      <c r="B538" s="58"/>
      <c r="C538" s="37"/>
      <c r="D538" s="97"/>
      <c r="E538" s="98"/>
      <c r="F538" s="101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3"/>
      <c r="T538" s="83"/>
      <c r="U538" s="85"/>
      <c r="V538" s="83"/>
      <c r="W538" s="85"/>
      <c r="X538" s="97"/>
      <c r="Y538" s="100"/>
      <c r="Z538" s="100"/>
      <c r="AA538" s="100"/>
      <c r="AB538" s="100"/>
      <c r="AC538" s="100"/>
      <c r="AD538" s="98"/>
      <c r="AE538" s="83"/>
      <c r="AF538" s="84"/>
      <c r="AG538" s="85"/>
      <c r="AH538" s="83"/>
      <c r="AI538" s="84"/>
      <c r="AJ538" s="84"/>
      <c r="AK538" s="85"/>
      <c r="AL538" s="83"/>
      <c r="AM538" s="84"/>
      <c r="AN538" s="85"/>
      <c r="AO538" s="60"/>
      <c r="AP538" s="61"/>
      <c r="AQ538" s="77">
        <f t="shared" si="17"/>
        <v>0</v>
      </c>
      <c r="AR538" s="37"/>
      <c r="AS538" s="78">
        <f t="shared" si="18"/>
        <v>0</v>
      </c>
      <c r="AT538" s="37"/>
      <c r="AU538" s="37"/>
      <c r="AV538" s="37"/>
      <c r="AW538" s="37"/>
      <c r="AX538" s="37"/>
    </row>
    <row r="539" spans="1:50" ht="20.100000000000001" customHeight="1" x14ac:dyDescent="0.25">
      <c r="A539" s="37"/>
      <c r="B539" s="58"/>
      <c r="C539" s="37"/>
      <c r="D539" s="97"/>
      <c r="E539" s="98"/>
      <c r="F539" s="101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3"/>
      <c r="T539" s="83"/>
      <c r="U539" s="85"/>
      <c r="V539" s="83"/>
      <c r="W539" s="85"/>
      <c r="X539" s="97"/>
      <c r="Y539" s="100"/>
      <c r="Z539" s="100"/>
      <c r="AA539" s="100"/>
      <c r="AB539" s="100"/>
      <c r="AC539" s="100"/>
      <c r="AD539" s="98"/>
      <c r="AE539" s="83"/>
      <c r="AF539" s="84"/>
      <c r="AG539" s="85"/>
      <c r="AH539" s="83"/>
      <c r="AI539" s="84"/>
      <c r="AJ539" s="84"/>
      <c r="AK539" s="85"/>
      <c r="AL539" s="83"/>
      <c r="AM539" s="84"/>
      <c r="AN539" s="85"/>
      <c r="AO539" s="60"/>
      <c r="AP539" s="61"/>
      <c r="AQ539" s="77">
        <f t="shared" si="17"/>
        <v>0</v>
      </c>
      <c r="AR539" s="37"/>
      <c r="AS539" s="78">
        <f t="shared" si="18"/>
        <v>0</v>
      </c>
      <c r="AT539" s="37"/>
      <c r="AU539" s="37"/>
      <c r="AV539" s="37"/>
      <c r="AW539" s="37"/>
      <c r="AX539" s="37"/>
    </row>
    <row r="540" spans="1:50" ht="20.100000000000001" customHeight="1" x14ac:dyDescent="0.25">
      <c r="A540" s="37"/>
      <c r="B540" s="58"/>
      <c r="C540" s="37"/>
      <c r="D540" s="97"/>
      <c r="E540" s="98"/>
      <c r="F540" s="101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3"/>
      <c r="T540" s="83"/>
      <c r="U540" s="85"/>
      <c r="V540" s="83"/>
      <c r="W540" s="85"/>
      <c r="X540" s="97"/>
      <c r="Y540" s="100"/>
      <c r="Z540" s="100"/>
      <c r="AA540" s="100"/>
      <c r="AB540" s="100"/>
      <c r="AC540" s="100"/>
      <c r="AD540" s="98"/>
      <c r="AE540" s="83"/>
      <c r="AF540" s="84"/>
      <c r="AG540" s="85"/>
      <c r="AH540" s="83"/>
      <c r="AI540" s="84"/>
      <c r="AJ540" s="84"/>
      <c r="AK540" s="85"/>
      <c r="AL540" s="83"/>
      <c r="AM540" s="84"/>
      <c r="AN540" s="85"/>
      <c r="AO540" s="60"/>
      <c r="AP540" s="61"/>
      <c r="AQ540" s="77">
        <f t="shared" si="17"/>
        <v>0</v>
      </c>
      <c r="AR540" s="37"/>
      <c r="AS540" s="78">
        <f t="shared" si="18"/>
        <v>0</v>
      </c>
      <c r="AT540" s="37"/>
      <c r="AU540" s="37"/>
      <c r="AV540" s="37"/>
      <c r="AW540" s="37"/>
      <c r="AX540" s="37"/>
    </row>
    <row r="541" spans="1:50" ht="20.100000000000001" customHeight="1" x14ac:dyDescent="0.25">
      <c r="A541" s="37"/>
      <c r="B541" s="58"/>
      <c r="C541" s="37"/>
      <c r="D541" s="97"/>
      <c r="E541" s="98"/>
      <c r="F541" s="101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3"/>
      <c r="T541" s="83"/>
      <c r="U541" s="85"/>
      <c r="V541" s="83"/>
      <c r="W541" s="85"/>
      <c r="X541" s="97"/>
      <c r="Y541" s="100"/>
      <c r="Z541" s="100"/>
      <c r="AA541" s="100"/>
      <c r="AB541" s="100"/>
      <c r="AC541" s="100"/>
      <c r="AD541" s="98"/>
      <c r="AE541" s="83"/>
      <c r="AF541" s="84"/>
      <c r="AG541" s="85"/>
      <c r="AH541" s="83"/>
      <c r="AI541" s="84"/>
      <c r="AJ541" s="84"/>
      <c r="AK541" s="85"/>
      <c r="AL541" s="83"/>
      <c r="AM541" s="84"/>
      <c r="AN541" s="85"/>
      <c r="AO541" s="60"/>
      <c r="AP541" s="61"/>
      <c r="AQ541" s="77">
        <f t="shared" si="17"/>
        <v>0</v>
      </c>
      <c r="AR541" s="37"/>
      <c r="AS541" s="78">
        <f t="shared" si="18"/>
        <v>0</v>
      </c>
      <c r="AT541" s="37"/>
      <c r="AU541" s="37"/>
      <c r="AV541" s="37"/>
      <c r="AW541" s="37"/>
      <c r="AX541" s="37"/>
    </row>
    <row r="542" spans="1:50" ht="20.100000000000001" customHeight="1" x14ac:dyDescent="0.25">
      <c r="A542" s="37"/>
      <c r="B542" s="58"/>
      <c r="C542" s="37"/>
      <c r="D542" s="97"/>
      <c r="E542" s="98"/>
      <c r="F542" s="101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3"/>
      <c r="T542" s="83"/>
      <c r="U542" s="85"/>
      <c r="V542" s="83"/>
      <c r="W542" s="85"/>
      <c r="X542" s="97"/>
      <c r="Y542" s="100"/>
      <c r="Z542" s="100"/>
      <c r="AA542" s="100"/>
      <c r="AB542" s="100"/>
      <c r="AC542" s="100"/>
      <c r="AD542" s="98"/>
      <c r="AE542" s="83"/>
      <c r="AF542" s="84"/>
      <c r="AG542" s="85"/>
      <c r="AH542" s="83"/>
      <c r="AI542" s="84"/>
      <c r="AJ542" s="84"/>
      <c r="AK542" s="85"/>
      <c r="AL542" s="83"/>
      <c r="AM542" s="84"/>
      <c r="AN542" s="85"/>
      <c r="AO542" s="60"/>
      <c r="AP542" s="61"/>
      <c r="AQ542" s="77">
        <f t="shared" si="17"/>
        <v>0</v>
      </c>
      <c r="AR542" s="37"/>
      <c r="AS542" s="78">
        <f t="shared" si="18"/>
        <v>0</v>
      </c>
      <c r="AT542" s="37"/>
      <c r="AU542" s="37"/>
      <c r="AV542" s="37"/>
      <c r="AW542" s="37"/>
      <c r="AX542" s="37"/>
    </row>
    <row r="543" spans="1:50" ht="20.100000000000001" customHeight="1" x14ac:dyDescent="0.25">
      <c r="A543" s="37"/>
      <c r="B543" s="58"/>
      <c r="C543" s="37"/>
      <c r="D543" s="97"/>
      <c r="E543" s="98"/>
      <c r="F543" s="101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3"/>
      <c r="T543" s="83"/>
      <c r="U543" s="85"/>
      <c r="V543" s="83"/>
      <c r="W543" s="85"/>
      <c r="X543" s="97"/>
      <c r="Y543" s="100"/>
      <c r="Z543" s="100"/>
      <c r="AA543" s="100"/>
      <c r="AB543" s="100"/>
      <c r="AC543" s="100"/>
      <c r="AD543" s="98"/>
      <c r="AE543" s="83"/>
      <c r="AF543" s="84"/>
      <c r="AG543" s="85"/>
      <c r="AH543" s="83"/>
      <c r="AI543" s="84"/>
      <c r="AJ543" s="84"/>
      <c r="AK543" s="85"/>
      <c r="AL543" s="83"/>
      <c r="AM543" s="84"/>
      <c r="AN543" s="85"/>
      <c r="AO543" s="60"/>
      <c r="AP543" s="61"/>
      <c r="AQ543" s="77">
        <f t="shared" si="17"/>
        <v>0</v>
      </c>
      <c r="AR543" s="37"/>
      <c r="AS543" s="78">
        <f t="shared" si="18"/>
        <v>0</v>
      </c>
      <c r="AT543" s="37"/>
      <c r="AU543" s="37"/>
      <c r="AV543" s="37"/>
      <c r="AW543" s="37"/>
      <c r="AX543" s="37"/>
    </row>
    <row r="544" spans="1:50" ht="20.100000000000001" customHeight="1" x14ac:dyDescent="0.25">
      <c r="A544" s="37"/>
      <c r="B544" s="58"/>
      <c r="C544" s="37"/>
      <c r="D544" s="97"/>
      <c r="E544" s="98"/>
      <c r="F544" s="101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3"/>
      <c r="T544" s="83"/>
      <c r="U544" s="85"/>
      <c r="V544" s="83"/>
      <c r="W544" s="85"/>
      <c r="X544" s="97"/>
      <c r="Y544" s="100"/>
      <c r="Z544" s="100"/>
      <c r="AA544" s="100"/>
      <c r="AB544" s="100"/>
      <c r="AC544" s="100"/>
      <c r="AD544" s="98"/>
      <c r="AE544" s="83"/>
      <c r="AF544" s="84"/>
      <c r="AG544" s="85"/>
      <c r="AH544" s="83"/>
      <c r="AI544" s="84"/>
      <c r="AJ544" s="84"/>
      <c r="AK544" s="85"/>
      <c r="AL544" s="83"/>
      <c r="AM544" s="84"/>
      <c r="AN544" s="85"/>
      <c r="AO544" s="60"/>
      <c r="AP544" s="61"/>
      <c r="AQ544" s="77">
        <f t="shared" si="17"/>
        <v>0</v>
      </c>
      <c r="AR544" s="37"/>
      <c r="AS544" s="78">
        <f t="shared" si="18"/>
        <v>0</v>
      </c>
      <c r="AT544" s="37"/>
      <c r="AU544" s="37"/>
      <c r="AV544" s="37"/>
      <c r="AW544" s="37"/>
      <c r="AX544" s="37"/>
    </row>
    <row r="545" spans="1:50" ht="20.100000000000001" customHeight="1" x14ac:dyDescent="0.25">
      <c r="A545" s="37"/>
      <c r="B545" s="58"/>
      <c r="C545" s="37"/>
      <c r="D545" s="97"/>
      <c r="E545" s="98"/>
      <c r="F545" s="101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3"/>
      <c r="T545" s="83"/>
      <c r="U545" s="85"/>
      <c r="V545" s="83"/>
      <c r="W545" s="85"/>
      <c r="X545" s="97"/>
      <c r="Y545" s="100"/>
      <c r="Z545" s="100"/>
      <c r="AA545" s="100"/>
      <c r="AB545" s="100"/>
      <c r="AC545" s="100"/>
      <c r="AD545" s="98"/>
      <c r="AE545" s="83"/>
      <c r="AF545" s="84"/>
      <c r="AG545" s="85"/>
      <c r="AH545" s="83"/>
      <c r="AI545" s="84"/>
      <c r="AJ545" s="84"/>
      <c r="AK545" s="85"/>
      <c r="AL545" s="83"/>
      <c r="AM545" s="84"/>
      <c r="AN545" s="85"/>
      <c r="AO545" s="60"/>
      <c r="AP545" s="61"/>
      <c r="AQ545" s="77">
        <f t="shared" si="17"/>
        <v>0</v>
      </c>
      <c r="AR545" s="37"/>
      <c r="AS545" s="78">
        <f t="shared" si="18"/>
        <v>0</v>
      </c>
      <c r="AT545" s="37"/>
      <c r="AU545" s="37"/>
      <c r="AV545" s="37"/>
      <c r="AW545" s="37"/>
      <c r="AX545" s="37"/>
    </row>
    <row r="546" spans="1:50" ht="20.100000000000001" customHeight="1" x14ac:dyDescent="0.25">
      <c r="A546" s="37"/>
      <c r="B546" s="58"/>
      <c r="C546" s="37"/>
      <c r="D546" s="97"/>
      <c r="E546" s="98"/>
      <c r="F546" s="101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3"/>
      <c r="T546" s="83"/>
      <c r="U546" s="85"/>
      <c r="V546" s="83"/>
      <c r="W546" s="85"/>
      <c r="X546" s="97"/>
      <c r="Y546" s="100"/>
      <c r="Z546" s="100"/>
      <c r="AA546" s="100"/>
      <c r="AB546" s="100"/>
      <c r="AC546" s="100"/>
      <c r="AD546" s="98"/>
      <c r="AE546" s="83"/>
      <c r="AF546" s="84"/>
      <c r="AG546" s="85"/>
      <c r="AH546" s="83"/>
      <c r="AI546" s="84"/>
      <c r="AJ546" s="84"/>
      <c r="AK546" s="85"/>
      <c r="AL546" s="83"/>
      <c r="AM546" s="84"/>
      <c r="AN546" s="85"/>
      <c r="AO546" s="60"/>
      <c r="AP546" s="61"/>
      <c r="AQ546" s="77">
        <f t="shared" si="17"/>
        <v>0</v>
      </c>
      <c r="AR546" s="37"/>
      <c r="AS546" s="78">
        <f t="shared" si="18"/>
        <v>0</v>
      </c>
      <c r="AT546" s="37"/>
      <c r="AU546" s="37"/>
      <c r="AV546" s="37"/>
      <c r="AW546" s="37"/>
      <c r="AX546" s="37"/>
    </row>
    <row r="547" spans="1:50" ht="20.100000000000001" customHeight="1" x14ac:dyDescent="0.25">
      <c r="A547" s="37"/>
      <c r="B547" s="58"/>
      <c r="C547" s="37"/>
      <c r="D547" s="97"/>
      <c r="E547" s="98"/>
      <c r="F547" s="101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3"/>
      <c r="T547" s="83"/>
      <c r="U547" s="85"/>
      <c r="V547" s="83"/>
      <c r="W547" s="85"/>
      <c r="X547" s="97"/>
      <c r="Y547" s="100"/>
      <c r="Z547" s="100"/>
      <c r="AA547" s="100"/>
      <c r="AB547" s="100"/>
      <c r="AC547" s="100"/>
      <c r="AD547" s="98"/>
      <c r="AE547" s="83"/>
      <c r="AF547" s="84"/>
      <c r="AG547" s="85"/>
      <c r="AH547" s="83"/>
      <c r="AI547" s="84"/>
      <c r="AJ547" s="84"/>
      <c r="AK547" s="85"/>
      <c r="AL547" s="83"/>
      <c r="AM547" s="84"/>
      <c r="AN547" s="85"/>
      <c r="AO547" s="60"/>
      <c r="AP547" s="61"/>
      <c r="AQ547" s="77">
        <f t="shared" si="17"/>
        <v>0</v>
      </c>
      <c r="AR547" s="37"/>
      <c r="AS547" s="78">
        <f t="shared" si="18"/>
        <v>0</v>
      </c>
      <c r="AT547" s="37"/>
      <c r="AU547" s="37"/>
      <c r="AV547" s="37"/>
      <c r="AW547" s="37"/>
      <c r="AX547" s="37"/>
    </row>
    <row r="548" spans="1:50" ht="20.100000000000001" customHeight="1" x14ac:dyDescent="0.25">
      <c r="A548" s="37"/>
      <c r="B548" s="58"/>
      <c r="C548" s="37"/>
      <c r="D548" s="97"/>
      <c r="E548" s="98"/>
      <c r="F548" s="101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3"/>
      <c r="T548" s="83"/>
      <c r="U548" s="85"/>
      <c r="V548" s="83"/>
      <c r="W548" s="85"/>
      <c r="X548" s="97"/>
      <c r="Y548" s="100"/>
      <c r="Z548" s="100"/>
      <c r="AA548" s="100"/>
      <c r="AB548" s="100"/>
      <c r="AC548" s="100"/>
      <c r="AD548" s="98"/>
      <c r="AE548" s="83"/>
      <c r="AF548" s="84"/>
      <c r="AG548" s="85"/>
      <c r="AH548" s="83"/>
      <c r="AI548" s="84"/>
      <c r="AJ548" s="84"/>
      <c r="AK548" s="85"/>
      <c r="AL548" s="83"/>
      <c r="AM548" s="84"/>
      <c r="AN548" s="85"/>
      <c r="AO548" s="60"/>
      <c r="AP548" s="61"/>
      <c r="AQ548" s="77">
        <f t="shared" si="17"/>
        <v>0</v>
      </c>
      <c r="AR548" s="37"/>
      <c r="AS548" s="78">
        <f t="shared" si="18"/>
        <v>0</v>
      </c>
      <c r="AT548" s="37"/>
      <c r="AU548" s="37"/>
      <c r="AV548" s="37"/>
      <c r="AW548" s="37"/>
      <c r="AX548" s="37"/>
    </row>
    <row r="549" spans="1:50" ht="20.100000000000001" customHeight="1" x14ac:dyDescent="0.25">
      <c r="A549" s="37"/>
      <c r="B549" s="58"/>
      <c r="C549" s="37"/>
      <c r="D549" s="97"/>
      <c r="E549" s="98"/>
      <c r="F549" s="101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3"/>
      <c r="T549" s="83"/>
      <c r="U549" s="85"/>
      <c r="V549" s="83"/>
      <c r="W549" s="85"/>
      <c r="X549" s="97"/>
      <c r="Y549" s="100"/>
      <c r="Z549" s="100"/>
      <c r="AA549" s="100"/>
      <c r="AB549" s="100"/>
      <c r="AC549" s="100"/>
      <c r="AD549" s="98"/>
      <c r="AE549" s="83"/>
      <c r="AF549" s="84"/>
      <c r="AG549" s="85"/>
      <c r="AH549" s="83"/>
      <c r="AI549" s="84"/>
      <c r="AJ549" s="84"/>
      <c r="AK549" s="85"/>
      <c r="AL549" s="83"/>
      <c r="AM549" s="84"/>
      <c r="AN549" s="85"/>
      <c r="AO549" s="60"/>
      <c r="AP549" s="61"/>
      <c r="AQ549" s="77">
        <f t="shared" si="17"/>
        <v>0</v>
      </c>
      <c r="AR549" s="37"/>
      <c r="AS549" s="78">
        <f t="shared" si="18"/>
        <v>0</v>
      </c>
      <c r="AT549" s="37"/>
      <c r="AU549" s="37"/>
      <c r="AV549" s="37"/>
      <c r="AW549" s="37"/>
      <c r="AX549" s="37"/>
    </row>
    <row r="550" spans="1:50" ht="20.100000000000001" customHeight="1" x14ac:dyDescent="0.25">
      <c r="A550" s="37"/>
      <c r="B550" s="58"/>
      <c r="C550" s="37"/>
      <c r="D550" s="97"/>
      <c r="E550" s="98"/>
      <c r="F550" s="101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3"/>
      <c r="T550" s="83"/>
      <c r="U550" s="85"/>
      <c r="V550" s="83"/>
      <c r="W550" s="85"/>
      <c r="X550" s="97"/>
      <c r="Y550" s="100"/>
      <c r="Z550" s="100"/>
      <c r="AA550" s="100"/>
      <c r="AB550" s="100"/>
      <c r="AC550" s="100"/>
      <c r="AD550" s="98"/>
      <c r="AE550" s="83"/>
      <c r="AF550" s="84"/>
      <c r="AG550" s="85"/>
      <c r="AH550" s="83"/>
      <c r="AI550" s="84"/>
      <c r="AJ550" s="84"/>
      <c r="AK550" s="85"/>
      <c r="AL550" s="83"/>
      <c r="AM550" s="84"/>
      <c r="AN550" s="85"/>
      <c r="AO550" s="60"/>
      <c r="AP550" s="61"/>
      <c r="AQ550" s="77">
        <f t="shared" si="17"/>
        <v>0</v>
      </c>
      <c r="AR550" s="37"/>
      <c r="AS550" s="78">
        <f t="shared" si="18"/>
        <v>0</v>
      </c>
      <c r="AT550" s="37"/>
      <c r="AU550" s="37"/>
      <c r="AV550" s="37"/>
      <c r="AW550" s="37"/>
      <c r="AX550" s="37"/>
    </row>
    <row r="551" spans="1:50" ht="20.100000000000001" customHeight="1" x14ac:dyDescent="0.25">
      <c r="A551" s="37"/>
      <c r="B551" s="58"/>
      <c r="C551" s="37"/>
      <c r="D551" s="97"/>
      <c r="E551" s="98"/>
      <c r="F551" s="101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3"/>
      <c r="T551" s="83"/>
      <c r="U551" s="85"/>
      <c r="V551" s="83"/>
      <c r="W551" s="85"/>
      <c r="X551" s="97"/>
      <c r="Y551" s="100"/>
      <c r="Z551" s="100"/>
      <c r="AA551" s="100"/>
      <c r="AB551" s="100"/>
      <c r="AC551" s="100"/>
      <c r="AD551" s="98"/>
      <c r="AE551" s="83"/>
      <c r="AF551" s="84"/>
      <c r="AG551" s="85"/>
      <c r="AH551" s="83"/>
      <c r="AI551" s="84"/>
      <c r="AJ551" s="84"/>
      <c r="AK551" s="85"/>
      <c r="AL551" s="83"/>
      <c r="AM551" s="84"/>
      <c r="AN551" s="85"/>
      <c r="AO551" s="60"/>
      <c r="AP551" s="61"/>
      <c r="AQ551" s="77">
        <f t="shared" si="17"/>
        <v>0</v>
      </c>
      <c r="AR551" s="37"/>
      <c r="AS551" s="78">
        <f t="shared" si="18"/>
        <v>0</v>
      </c>
      <c r="AT551" s="37"/>
      <c r="AU551" s="37"/>
      <c r="AV551" s="37"/>
      <c r="AW551" s="37"/>
      <c r="AX551" s="37"/>
    </row>
    <row r="552" spans="1:50" ht="20.100000000000001" customHeight="1" x14ac:dyDescent="0.25">
      <c r="A552" s="37"/>
      <c r="B552" s="58"/>
      <c r="C552" s="37"/>
      <c r="D552" s="97"/>
      <c r="E552" s="98"/>
      <c r="F552" s="101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3"/>
      <c r="T552" s="83"/>
      <c r="U552" s="85"/>
      <c r="V552" s="83"/>
      <c r="W552" s="85"/>
      <c r="X552" s="97"/>
      <c r="Y552" s="100"/>
      <c r="Z552" s="100"/>
      <c r="AA552" s="100"/>
      <c r="AB552" s="100"/>
      <c r="AC552" s="100"/>
      <c r="AD552" s="98"/>
      <c r="AE552" s="83"/>
      <c r="AF552" s="84"/>
      <c r="AG552" s="85"/>
      <c r="AH552" s="83"/>
      <c r="AI552" s="84"/>
      <c r="AJ552" s="84"/>
      <c r="AK552" s="85"/>
      <c r="AL552" s="83"/>
      <c r="AM552" s="84"/>
      <c r="AN552" s="85"/>
      <c r="AO552" s="60"/>
      <c r="AP552" s="61"/>
      <c r="AQ552" s="77">
        <f t="shared" si="17"/>
        <v>0</v>
      </c>
      <c r="AR552" s="37"/>
      <c r="AS552" s="78">
        <f t="shared" si="18"/>
        <v>0</v>
      </c>
      <c r="AT552" s="37"/>
      <c r="AU552" s="37"/>
      <c r="AV552" s="37"/>
      <c r="AW552" s="37"/>
      <c r="AX552" s="37"/>
    </row>
    <row r="553" spans="1:50" ht="20.100000000000001" customHeight="1" x14ac:dyDescent="0.25">
      <c r="A553" s="37"/>
      <c r="B553" s="58"/>
      <c r="C553" s="37"/>
      <c r="D553" s="97"/>
      <c r="E553" s="98"/>
      <c r="F553" s="101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3"/>
      <c r="T553" s="83"/>
      <c r="U553" s="85"/>
      <c r="V553" s="83"/>
      <c r="W553" s="85"/>
      <c r="X553" s="97"/>
      <c r="Y553" s="100"/>
      <c r="Z553" s="100"/>
      <c r="AA553" s="100"/>
      <c r="AB553" s="100"/>
      <c r="AC553" s="100"/>
      <c r="AD553" s="98"/>
      <c r="AE553" s="83"/>
      <c r="AF553" s="84"/>
      <c r="AG553" s="85"/>
      <c r="AH553" s="83"/>
      <c r="AI553" s="84"/>
      <c r="AJ553" s="84"/>
      <c r="AK553" s="85"/>
      <c r="AL553" s="83"/>
      <c r="AM553" s="84"/>
      <c r="AN553" s="85"/>
      <c r="AO553" s="60"/>
      <c r="AP553" s="61"/>
      <c r="AQ553" s="77">
        <f t="shared" si="17"/>
        <v>0</v>
      </c>
      <c r="AR553" s="37"/>
      <c r="AS553" s="78">
        <f t="shared" si="18"/>
        <v>0</v>
      </c>
      <c r="AT553" s="37"/>
      <c r="AU553" s="37"/>
      <c r="AV553" s="37"/>
      <c r="AW553" s="37"/>
      <c r="AX553" s="37"/>
    </row>
    <row r="554" spans="1:50" ht="20.100000000000001" customHeight="1" x14ac:dyDescent="0.25">
      <c r="A554" s="37"/>
      <c r="B554" s="58"/>
      <c r="C554" s="37"/>
      <c r="D554" s="97"/>
      <c r="E554" s="98"/>
      <c r="F554" s="101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3"/>
      <c r="T554" s="83"/>
      <c r="U554" s="85"/>
      <c r="V554" s="83"/>
      <c r="W554" s="85"/>
      <c r="X554" s="97"/>
      <c r="Y554" s="100"/>
      <c r="Z554" s="100"/>
      <c r="AA554" s="100"/>
      <c r="AB554" s="100"/>
      <c r="AC554" s="100"/>
      <c r="AD554" s="98"/>
      <c r="AE554" s="83"/>
      <c r="AF554" s="84"/>
      <c r="AG554" s="85"/>
      <c r="AH554" s="83"/>
      <c r="AI554" s="84"/>
      <c r="AJ554" s="84"/>
      <c r="AK554" s="85"/>
      <c r="AL554" s="83"/>
      <c r="AM554" s="84"/>
      <c r="AN554" s="85"/>
      <c r="AO554" s="60"/>
      <c r="AP554" s="61"/>
      <c r="AQ554" s="77">
        <f t="shared" si="17"/>
        <v>0</v>
      </c>
      <c r="AR554" s="37"/>
      <c r="AS554" s="78">
        <f t="shared" si="18"/>
        <v>0</v>
      </c>
      <c r="AT554" s="37"/>
      <c r="AU554" s="37"/>
      <c r="AV554" s="37"/>
      <c r="AW554" s="37"/>
      <c r="AX554" s="37"/>
    </row>
    <row r="555" spans="1:50" ht="20.100000000000001" customHeight="1" x14ac:dyDescent="0.25">
      <c r="A555" s="37"/>
      <c r="B555" s="58"/>
      <c r="C555" s="37"/>
      <c r="D555" s="97"/>
      <c r="E555" s="98"/>
      <c r="F555" s="101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3"/>
      <c r="T555" s="83"/>
      <c r="U555" s="85"/>
      <c r="V555" s="83"/>
      <c r="W555" s="85"/>
      <c r="X555" s="97"/>
      <c r="Y555" s="100"/>
      <c r="Z555" s="100"/>
      <c r="AA555" s="100"/>
      <c r="AB555" s="100"/>
      <c r="AC555" s="100"/>
      <c r="AD555" s="98"/>
      <c r="AE555" s="83"/>
      <c r="AF555" s="84"/>
      <c r="AG555" s="85"/>
      <c r="AH555" s="83"/>
      <c r="AI555" s="84"/>
      <c r="AJ555" s="84"/>
      <c r="AK555" s="85"/>
      <c r="AL555" s="83"/>
      <c r="AM555" s="84"/>
      <c r="AN555" s="85"/>
      <c r="AO555" s="60"/>
      <c r="AP555" s="61"/>
      <c r="AQ555" s="77">
        <f t="shared" si="17"/>
        <v>0</v>
      </c>
      <c r="AR555" s="37"/>
      <c r="AS555" s="78">
        <f t="shared" si="18"/>
        <v>0</v>
      </c>
      <c r="AT555" s="37"/>
      <c r="AU555" s="37"/>
      <c r="AV555" s="37"/>
      <c r="AW555" s="37"/>
      <c r="AX555" s="37"/>
    </row>
    <row r="556" spans="1:50" ht="20.100000000000001" customHeight="1" x14ac:dyDescent="0.25">
      <c r="A556" s="37"/>
      <c r="B556" s="58"/>
      <c r="C556" s="37"/>
      <c r="D556" s="97"/>
      <c r="E556" s="98"/>
      <c r="F556" s="101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3"/>
      <c r="T556" s="83"/>
      <c r="U556" s="85"/>
      <c r="V556" s="83"/>
      <c r="W556" s="85"/>
      <c r="X556" s="97"/>
      <c r="Y556" s="100"/>
      <c r="Z556" s="100"/>
      <c r="AA556" s="100"/>
      <c r="AB556" s="100"/>
      <c r="AC556" s="100"/>
      <c r="AD556" s="98"/>
      <c r="AE556" s="83"/>
      <c r="AF556" s="84"/>
      <c r="AG556" s="85"/>
      <c r="AH556" s="83"/>
      <c r="AI556" s="84"/>
      <c r="AJ556" s="84"/>
      <c r="AK556" s="85"/>
      <c r="AL556" s="83"/>
      <c r="AM556" s="84"/>
      <c r="AN556" s="85"/>
      <c r="AO556" s="60"/>
      <c r="AP556" s="61"/>
      <c r="AQ556" s="77">
        <f t="shared" si="17"/>
        <v>0</v>
      </c>
      <c r="AR556" s="37"/>
      <c r="AS556" s="78">
        <f t="shared" si="18"/>
        <v>0</v>
      </c>
      <c r="AT556" s="37"/>
      <c r="AU556" s="37"/>
      <c r="AV556" s="37"/>
      <c r="AW556" s="37"/>
      <c r="AX556" s="37"/>
    </row>
    <row r="557" spans="1:50" ht="20.100000000000001" customHeight="1" x14ac:dyDescent="0.25">
      <c r="A557" s="37"/>
      <c r="B557" s="58"/>
      <c r="C557" s="37"/>
      <c r="D557" s="97"/>
      <c r="E557" s="98"/>
      <c r="F557" s="101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3"/>
      <c r="T557" s="83"/>
      <c r="U557" s="85"/>
      <c r="V557" s="83"/>
      <c r="W557" s="85"/>
      <c r="X557" s="97"/>
      <c r="Y557" s="100"/>
      <c r="Z557" s="100"/>
      <c r="AA557" s="100"/>
      <c r="AB557" s="100"/>
      <c r="AC557" s="100"/>
      <c r="AD557" s="98"/>
      <c r="AE557" s="83"/>
      <c r="AF557" s="84"/>
      <c r="AG557" s="85"/>
      <c r="AH557" s="83"/>
      <c r="AI557" s="84"/>
      <c r="AJ557" s="84"/>
      <c r="AK557" s="85"/>
      <c r="AL557" s="83"/>
      <c r="AM557" s="84"/>
      <c r="AN557" s="85"/>
      <c r="AO557" s="60"/>
      <c r="AP557" s="61"/>
      <c r="AQ557" s="77">
        <f t="shared" si="17"/>
        <v>0</v>
      </c>
      <c r="AR557" s="37"/>
      <c r="AS557" s="78">
        <f t="shared" si="18"/>
        <v>0</v>
      </c>
      <c r="AT557" s="37"/>
      <c r="AU557" s="37"/>
      <c r="AV557" s="37"/>
      <c r="AW557" s="37"/>
      <c r="AX557" s="37"/>
    </row>
    <row r="558" spans="1:50" ht="20.100000000000001" customHeight="1" x14ac:dyDescent="0.25">
      <c r="A558" s="37"/>
      <c r="B558" s="58"/>
      <c r="C558" s="37"/>
      <c r="D558" s="97"/>
      <c r="E558" s="98"/>
      <c r="F558" s="101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3"/>
      <c r="T558" s="83"/>
      <c r="U558" s="85"/>
      <c r="V558" s="83"/>
      <c r="W558" s="85"/>
      <c r="X558" s="97"/>
      <c r="Y558" s="100"/>
      <c r="Z558" s="100"/>
      <c r="AA558" s="100"/>
      <c r="AB558" s="100"/>
      <c r="AC558" s="100"/>
      <c r="AD558" s="98"/>
      <c r="AE558" s="83"/>
      <c r="AF558" s="84"/>
      <c r="AG558" s="85"/>
      <c r="AH558" s="83"/>
      <c r="AI558" s="84"/>
      <c r="AJ558" s="84"/>
      <c r="AK558" s="85"/>
      <c r="AL558" s="83"/>
      <c r="AM558" s="84"/>
      <c r="AN558" s="85"/>
      <c r="AO558" s="60"/>
      <c r="AP558" s="61"/>
      <c r="AQ558" s="77">
        <f t="shared" si="17"/>
        <v>0</v>
      </c>
      <c r="AR558" s="37"/>
      <c r="AS558" s="78">
        <f t="shared" si="18"/>
        <v>0</v>
      </c>
      <c r="AT558" s="37"/>
      <c r="AU558" s="37"/>
      <c r="AV558" s="37"/>
      <c r="AW558" s="37"/>
      <c r="AX558" s="37"/>
    </row>
    <row r="559" spans="1:50" ht="20.100000000000001" customHeight="1" x14ac:dyDescent="0.25">
      <c r="A559" s="37"/>
      <c r="B559" s="58"/>
      <c r="C559" s="37"/>
      <c r="D559" s="97"/>
      <c r="E559" s="98"/>
      <c r="F559" s="101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3"/>
      <c r="T559" s="83"/>
      <c r="U559" s="85"/>
      <c r="V559" s="83"/>
      <c r="W559" s="85"/>
      <c r="X559" s="97"/>
      <c r="Y559" s="100"/>
      <c r="Z559" s="100"/>
      <c r="AA559" s="100"/>
      <c r="AB559" s="100"/>
      <c r="AC559" s="100"/>
      <c r="AD559" s="98"/>
      <c r="AE559" s="83"/>
      <c r="AF559" s="84"/>
      <c r="AG559" s="85"/>
      <c r="AH559" s="83"/>
      <c r="AI559" s="84"/>
      <c r="AJ559" s="84"/>
      <c r="AK559" s="85"/>
      <c r="AL559" s="83"/>
      <c r="AM559" s="84"/>
      <c r="AN559" s="85"/>
      <c r="AO559" s="60"/>
      <c r="AP559" s="61"/>
      <c r="AQ559" s="77">
        <f t="shared" si="17"/>
        <v>0</v>
      </c>
      <c r="AR559" s="37"/>
      <c r="AS559" s="78">
        <f t="shared" si="18"/>
        <v>0</v>
      </c>
      <c r="AT559" s="37"/>
      <c r="AU559" s="37"/>
      <c r="AV559" s="37"/>
      <c r="AW559" s="37"/>
      <c r="AX559" s="37"/>
    </row>
    <row r="560" spans="1:50" ht="20.100000000000001" customHeight="1" x14ac:dyDescent="0.25">
      <c r="A560" s="37"/>
      <c r="B560" s="58"/>
      <c r="C560" s="37"/>
      <c r="D560" s="97"/>
      <c r="E560" s="98"/>
      <c r="F560" s="101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3"/>
      <c r="T560" s="83"/>
      <c r="U560" s="85"/>
      <c r="V560" s="83"/>
      <c r="W560" s="85"/>
      <c r="X560" s="97"/>
      <c r="Y560" s="100"/>
      <c r="Z560" s="100"/>
      <c r="AA560" s="100"/>
      <c r="AB560" s="100"/>
      <c r="AC560" s="100"/>
      <c r="AD560" s="98"/>
      <c r="AE560" s="83"/>
      <c r="AF560" s="84"/>
      <c r="AG560" s="85"/>
      <c r="AH560" s="83"/>
      <c r="AI560" s="84"/>
      <c r="AJ560" s="84"/>
      <c r="AK560" s="85"/>
      <c r="AL560" s="83"/>
      <c r="AM560" s="84"/>
      <c r="AN560" s="85"/>
      <c r="AO560" s="60"/>
      <c r="AP560" s="61"/>
      <c r="AQ560" s="77">
        <f t="shared" si="17"/>
        <v>0</v>
      </c>
      <c r="AR560" s="37"/>
      <c r="AS560" s="78">
        <f t="shared" si="18"/>
        <v>0</v>
      </c>
      <c r="AT560" s="37"/>
      <c r="AU560" s="37"/>
      <c r="AV560" s="37"/>
      <c r="AW560" s="37"/>
      <c r="AX560" s="37"/>
    </row>
    <row r="561" spans="1:50" ht="20.100000000000001" customHeight="1" x14ac:dyDescent="0.25">
      <c r="A561" s="37"/>
      <c r="B561" s="58"/>
      <c r="C561" s="37"/>
      <c r="D561" s="97"/>
      <c r="E561" s="98"/>
      <c r="F561" s="101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3"/>
      <c r="T561" s="83"/>
      <c r="U561" s="85"/>
      <c r="V561" s="83"/>
      <c r="W561" s="85"/>
      <c r="X561" s="97"/>
      <c r="Y561" s="100"/>
      <c r="Z561" s="100"/>
      <c r="AA561" s="100"/>
      <c r="AB561" s="100"/>
      <c r="AC561" s="100"/>
      <c r="AD561" s="98"/>
      <c r="AE561" s="83"/>
      <c r="AF561" s="84"/>
      <c r="AG561" s="85"/>
      <c r="AH561" s="83"/>
      <c r="AI561" s="84"/>
      <c r="AJ561" s="84"/>
      <c r="AK561" s="85"/>
      <c r="AL561" s="83"/>
      <c r="AM561" s="84"/>
      <c r="AN561" s="85"/>
      <c r="AO561" s="60"/>
      <c r="AP561" s="61"/>
      <c r="AQ561" s="77">
        <f t="shared" si="17"/>
        <v>0</v>
      </c>
      <c r="AR561" s="37"/>
      <c r="AS561" s="78">
        <f t="shared" si="18"/>
        <v>0</v>
      </c>
      <c r="AT561" s="37"/>
      <c r="AU561" s="37"/>
      <c r="AV561" s="37"/>
      <c r="AW561" s="37"/>
      <c r="AX561" s="37"/>
    </row>
    <row r="562" spans="1:50" ht="20.100000000000001" customHeight="1" x14ac:dyDescent="0.25">
      <c r="A562" s="37"/>
      <c r="B562" s="58"/>
      <c r="C562" s="37"/>
      <c r="D562" s="97"/>
      <c r="E562" s="98"/>
      <c r="F562" s="101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3"/>
      <c r="T562" s="83"/>
      <c r="U562" s="85"/>
      <c r="V562" s="83"/>
      <c r="W562" s="85"/>
      <c r="X562" s="97"/>
      <c r="Y562" s="100"/>
      <c r="Z562" s="100"/>
      <c r="AA562" s="100"/>
      <c r="AB562" s="100"/>
      <c r="AC562" s="100"/>
      <c r="AD562" s="98"/>
      <c r="AE562" s="83"/>
      <c r="AF562" s="84"/>
      <c r="AG562" s="85"/>
      <c r="AH562" s="83"/>
      <c r="AI562" s="84"/>
      <c r="AJ562" s="84"/>
      <c r="AK562" s="85"/>
      <c r="AL562" s="83"/>
      <c r="AM562" s="84"/>
      <c r="AN562" s="85"/>
      <c r="AO562" s="60"/>
      <c r="AP562" s="61"/>
      <c r="AQ562" s="77">
        <f t="shared" si="17"/>
        <v>0</v>
      </c>
      <c r="AR562" s="37"/>
      <c r="AS562" s="78">
        <f t="shared" si="18"/>
        <v>0</v>
      </c>
      <c r="AT562" s="37"/>
      <c r="AU562" s="37"/>
      <c r="AV562" s="37"/>
      <c r="AW562" s="37"/>
      <c r="AX562" s="37"/>
    </row>
    <row r="563" spans="1:50" ht="20.100000000000001" customHeight="1" x14ac:dyDescent="0.25">
      <c r="A563" s="37"/>
      <c r="B563" s="58"/>
      <c r="C563" s="37"/>
      <c r="D563" s="97"/>
      <c r="E563" s="98"/>
      <c r="F563" s="101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3"/>
      <c r="T563" s="83"/>
      <c r="U563" s="85"/>
      <c r="V563" s="83"/>
      <c r="W563" s="85"/>
      <c r="X563" s="97"/>
      <c r="Y563" s="100"/>
      <c r="Z563" s="100"/>
      <c r="AA563" s="100"/>
      <c r="AB563" s="100"/>
      <c r="AC563" s="100"/>
      <c r="AD563" s="98"/>
      <c r="AE563" s="83"/>
      <c r="AF563" s="84"/>
      <c r="AG563" s="85"/>
      <c r="AH563" s="83"/>
      <c r="AI563" s="84"/>
      <c r="AJ563" s="84"/>
      <c r="AK563" s="85"/>
      <c r="AL563" s="83"/>
      <c r="AM563" s="84"/>
      <c r="AN563" s="85"/>
      <c r="AO563" s="60"/>
      <c r="AP563" s="61"/>
      <c r="AQ563" s="77">
        <f t="shared" si="17"/>
        <v>0</v>
      </c>
      <c r="AR563" s="37"/>
      <c r="AS563" s="78">
        <f t="shared" si="18"/>
        <v>0</v>
      </c>
      <c r="AT563" s="37"/>
      <c r="AU563" s="37"/>
      <c r="AV563" s="37"/>
      <c r="AW563" s="37"/>
      <c r="AX563" s="37"/>
    </row>
    <row r="564" spans="1:50" ht="20.100000000000001" customHeight="1" x14ac:dyDescent="0.25">
      <c r="A564" s="37"/>
      <c r="B564" s="58"/>
      <c r="C564" s="37"/>
      <c r="D564" s="97"/>
      <c r="E564" s="98"/>
      <c r="F564" s="101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3"/>
      <c r="T564" s="83"/>
      <c r="U564" s="85"/>
      <c r="V564" s="83"/>
      <c r="W564" s="85"/>
      <c r="X564" s="97"/>
      <c r="Y564" s="100"/>
      <c r="Z564" s="100"/>
      <c r="AA564" s="100"/>
      <c r="AB564" s="100"/>
      <c r="AC564" s="100"/>
      <c r="AD564" s="98"/>
      <c r="AE564" s="83"/>
      <c r="AF564" s="84"/>
      <c r="AG564" s="85"/>
      <c r="AH564" s="83"/>
      <c r="AI564" s="84"/>
      <c r="AJ564" s="84"/>
      <c r="AK564" s="85"/>
      <c r="AL564" s="83"/>
      <c r="AM564" s="84"/>
      <c r="AN564" s="85"/>
      <c r="AO564" s="60"/>
      <c r="AP564" s="61"/>
      <c r="AQ564" s="77">
        <f t="shared" si="17"/>
        <v>0</v>
      </c>
      <c r="AR564" s="37"/>
      <c r="AS564" s="78">
        <f t="shared" si="18"/>
        <v>0</v>
      </c>
      <c r="AT564" s="37"/>
      <c r="AU564" s="37"/>
      <c r="AV564" s="37"/>
      <c r="AW564" s="37"/>
      <c r="AX564" s="37"/>
    </row>
    <row r="565" spans="1:50" ht="20.100000000000001" customHeight="1" x14ac:dyDescent="0.25">
      <c r="A565" s="37"/>
      <c r="B565" s="58"/>
      <c r="C565" s="37"/>
      <c r="D565" s="97"/>
      <c r="E565" s="98"/>
      <c r="F565" s="101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3"/>
      <c r="T565" s="83"/>
      <c r="U565" s="85"/>
      <c r="V565" s="83"/>
      <c r="W565" s="85"/>
      <c r="X565" s="97"/>
      <c r="Y565" s="100"/>
      <c r="Z565" s="100"/>
      <c r="AA565" s="100"/>
      <c r="AB565" s="100"/>
      <c r="AC565" s="100"/>
      <c r="AD565" s="98"/>
      <c r="AE565" s="83"/>
      <c r="AF565" s="84"/>
      <c r="AG565" s="85"/>
      <c r="AH565" s="83"/>
      <c r="AI565" s="84"/>
      <c r="AJ565" s="84"/>
      <c r="AK565" s="85"/>
      <c r="AL565" s="83"/>
      <c r="AM565" s="84"/>
      <c r="AN565" s="85"/>
      <c r="AO565" s="60"/>
      <c r="AP565" s="61"/>
      <c r="AQ565" s="77">
        <f t="shared" si="17"/>
        <v>0</v>
      </c>
      <c r="AR565" s="37"/>
      <c r="AS565" s="78">
        <f t="shared" si="18"/>
        <v>0</v>
      </c>
      <c r="AT565" s="37"/>
      <c r="AU565" s="37"/>
      <c r="AV565" s="37"/>
      <c r="AW565" s="37"/>
      <c r="AX565" s="37"/>
    </row>
    <row r="566" spans="1:50" ht="20.100000000000001" customHeight="1" x14ac:dyDescent="0.25">
      <c r="A566" s="37"/>
      <c r="B566" s="58"/>
      <c r="C566" s="37"/>
      <c r="D566" s="97"/>
      <c r="E566" s="98"/>
      <c r="F566" s="101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3"/>
      <c r="T566" s="83"/>
      <c r="U566" s="85"/>
      <c r="V566" s="83"/>
      <c r="W566" s="85"/>
      <c r="X566" s="97"/>
      <c r="Y566" s="100"/>
      <c r="Z566" s="100"/>
      <c r="AA566" s="100"/>
      <c r="AB566" s="100"/>
      <c r="AC566" s="100"/>
      <c r="AD566" s="98"/>
      <c r="AE566" s="83"/>
      <c r="AF566" s="84"/>
      <c r="AG566" s="85"/>
      <c r="AH566" s="83"/>
      <c r="AI566" s="84"/>
      <c r="AJ566" s="84"/>
      <c r="AK566" s="85"/>
      <c r="AL566" s="83"/>
      <c r="AM566" s="84"/>
      <c r="AN566" s="85"/>
      <c r="AO566" s="60"/>
      <c r="AP566" s="61"/>
      <c r="AQ566" s="77">
        <f t="shared" si="17"/>
        <v>0</v>
      </c>
      <c r="AR566" s="37"/>
      <c r="AS566" s="78">
        <f t="shared" si="18"/>
        <v>0</v>
      </c>
      <c r="AT566" s="37"/>
      <c r="AU566" s="37"/>
      <c r="AV566" s="37"/>
      <c r="AW566" s="37"/>
      <c r="AX566" s="37"/>
    </row>
    <row r="567" spans="1:50" ht="20.100000000000001" customHeight="1" x14ac:dyDescent="0.25">
      <c r="A567" s="37"/>
      <c r="B567" s="58"/>
      <c r="C567" s="37"/>
      <c r="D567" s="97"/>
      <c r="E567" s="98"/>
      <c r="F567" s="101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3"/>
      <c r="T567" s="83"/>
      <c r="U567" s="85"/>
      <c r="V567" s="83"/>
      <c r="W567" s="85"/>
      <c r="X567" s="97"/>
      <c r="Y567" s="100"/>
      <c r="Z567" s="100"/>
      <c r="AA567" s="100"/>
      <c r="AB567" s="100"/>
      <c r="AC567" s="100"/>
      <c r="AD567" s="98"/>
      <c r="AE567" s="83"/>
      <c r="AF567" s="84"/>
      <c r="AG567" s="85"/>
      <c r="AH567" s="83"/>
      <c r="AI567" s="84"/>
      <c r="AJ567" s="84"/>
      <c r="AK567" s="85"/>
      <c r="AL567" s="83"/>
      <c r="AM567" s="84"/>
      <c r="AN567" s="85"/>
      <c r="AO567" s="60"/>
      <c r="AP567" s="61"/>
      <c r="AQ567" s="77">
        <f t="shared" si="17"/>
        <v>0</v>
      </c>
      <c r="AR567" s="37"/>
      <c r="AS567" s="78">
        <f t="shared" si="18"/>
        <v>0</v>
      </c>
      <c r="AT567" s="37"/>
      <c r="AU567" s="37"/>
      <c r="AV567" s="37"/>
      <c r="AW567" s="37"/>
      <c r="AX567" s="37"/>
    </row>
    <row r="568" spans="1:50" ht="20.100000000000001" customHeight="1" x14ac:dyDescent="0.25">
      <c r="A568" s="37"/>
      <c r="B568" s="58"/>
      <c r="C568" s="37"/>
      <c r="D568" s="97"/>
      <c r="E568" s="98"/>
      <c r="F568" s="101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3"/>
      <c r="T568" s="83"/>
      <c r="U568" s="85"/>
      <c r="V568" s="83"/>
      <c r="W568" s="85"/>
      <c r="X568" s="97"/>
      <c r="Y568" s="100"/>
      <c r="Z568" s="100"/>
      <c r="AA568" s="100"/>
      <c r="AB568" s="100"/>
      <c r="AC568" s="100"/>
      <c r="AD568" s="98"/>
      <c r="AE568" s="83"/>
      <c r="AF568" s="84"/>
      <c r="AG568" s="85"/>
      <c r="AH568" s="83"/>
      <c r="AI568" s="84"/>
      <c r="AJ568" s="84"/>
      <c r="AK568" s="85"/>
      <c r="AL568" s="83"/>
      <c r="AM568" s="84"/>
      <c r="AN568" s="85"/>
      <c r="AO568" s="60"/>
      <c r="AP568" s="61"/>
      <c r="AQ568" s="77">
        <f t="shared" si="17"/>
        <v>0</v>
      </c>
      <c r="AR568" s="37"/>
      <c r="AS568" s="78">
        <f t="shared" si="18"/>
        <v>0</v>
      </c>
      <c r="AT568" s="37"/>
      <c r="AU568" s="37"/>
      <c r="AV568" s="37"/>
      <c r="AW568" s="37"/>
      <c r="AX568" s="37"/>
    </row>
    <row r="569" spans="1:50" ht="20.100000000000001" customHeight="1" x14ac:dyDescent="0.25">
      <c r="A569" s="37"/>
      <c r="B569" s="58"/>
      <c r="C569" s="37"/>
      <c r="D569" s="97"/>
      <c r="E569" s="98"/>
      <c r="F569" s="101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3"/>
      <c r="T569" s="83"/>
      <c r="U569" s="85"/>
      <c r="V569" s="83"/>
      <c r="W569" s="85"/>
      <c r="X569" s="97"/>
      <c r="Y569" s="100"/>
      <c r="Z569" s="100"/>
      <c r="AA569" s="100"/>
      <c r="AB569" s="100"/>
      <c r="AC569" s="100"/>
      <c r="AD569" s="98"/>
      <c r="AE569" s="83"/>
      <c r="AF569" s="84"/>
      <c r="AG569" s="85"/>
      <c r="AH569" s="83"/>
      <c r="AI569" s="84"/>
      <c r="AJ569" s="84"/>
      <c r="AK569" s="85"/>
      <c r="AL569" s="83"/>
      <c r="AM569" s="84"/>
      <c r="AN569" s="85"/>
      <c r="AO569" s="60"/>
      <c r="AP569" s="61"/>
      <c r="AQ569" s="77">
        <f t="shared" si="17"/>
        <v>0</v>
      </c>
      <c r="AR569" s="37"/>
      <c r="AS569" s="78">
        <f t="shared" si="18"/>
        <v>0</v>
      </c>
      <c r="AT569" s="37"/>
      <c r="AU569" s="37"/>
      <c r="AV569" s="37"/>
      <c r="AW569" s="37"/>
      <c r="AX569" s="37"/>
    </row>
    <row r="570" spans="1:50" ht="20.100000000000001" customHeight="1" x14ac:dyDescent="0.25">
      <c r="A570" s="37"/>
      <c r="B570" s="58"/>
      <c r="C570" s="37"/>
      <c r="D570" s="97"/>
      <c r="E570" s="98"/>
      <c r="F570" s="101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3"/>
      <c r="T570" s="83"/>
      <c r="U570" s="85"/>
      <c r="V570" s="83"/>
      <c r="W570" s="85"/>
      <c r="X570" s="97"/>
      <c r="Y570" s="100"/>
      <c r="Z570" s="100"/>
      <c r="AA570" s="100"/>
      <c r="AB570" s="100"/>
      <c r="AC570" s="100"/>
      <c r="AD570" s="98"/>
      <c r="AE570" s="83"/>
      <c r="AF570" s="84"/>
      <c r="AG570" s="85"/>
      <c r="AH570" s="83"/>
      <c r="AI570" s="84"/>
      <c r="AJ570" s="84"/>
      <c r="AK570" s="85"/>
      <c r="AL570" s="83"/>
      <c r="AM570" s="84"/>
      <c r="AN570" s="85"/>
      <c r="AO570" s="60"/>
      <c r="AP570" s="61"/>
      <c r="AQ570" s="77">
        <f t="shared" si="17"/>
        <v>0</v>
      </c>
      <c r="AR570" s="37"/>
      <c r="AS570" s="78">
        <f t="shared" si="18"/>
        <v>0</v>
      </c>
      <c r="AT570" s="37"/>
      <c r="AU570" s="37"/>
      <c r="AV570" s="37"/>
      <c r="AW570" s="37"/>
      <c r="AX570" s="37"/>
    </row>
    <row r="571" spans="1:50" ht="20.100000000000001" customHeight="1" x14ac:dyDescent="0.25">
      <c r="A571" s="37"/>
      <c r="B571" s="58"/>
      <c r="C571" s="37"/>
      <c r="D571" s="97"/>
      <c r="E571" s="98"/>
      <c r="F571" s="101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3"/>
      <c r="T571" s="83"/>
      <c r="U571" s="85"/>
      <c r="V571" s="83"/>
      <c r="W571" s="85"/>
      <c r="X571" s="97"/>
      <c r="Y571" s="100"/>
      <c r="Z571" s="100"/>
      <c r="AA571" s="100"/>
      <c r="AB571" s="100"/>
      <c r="AC571" s="100"/>
      <c r="AD571" s="98"/>
      <c r="AE571" s="83"/>
      <c r="AF571" s="84"/>
      <c r="AG571" s="85"/>
      <c r="AH571" s="83"/>
      <c r="AI571" s="84"/>
      <c r="AJ571" s="84"/>
      <c r="AK571" s="85"/>
      <c r="AL571" s="83"/>
      <c r="AM571" s="84"/>
      <c r="AN571" s="85"/>
      <c r="AO571" s="60"/>
      <c r="AP571" s="61"/>
      <c r="AQ571" s="77">
        <f t="shared" si="17"/>
        <v>0</v>
      </c>
      <c r="AR571" s="37"/>
      <c r="AS571" s="78">
        <f t="shared" si="18"/>
        <v>0</v>
      </c>
      <c r="AT571" s="37"/>
      <c r="AU571" s="37"/>
      <c r="AV571" s="37"/>
      <c r="AW571" s="37"/>
      <c r="AX571" s="37"/>
    </row>
    <row r="572" spans="1:50" ht="20.100000000000001" customHeight="1" x14ac:dyDescent="0.25">
      <c r="A572" s="37"/>
      <c r="B572" s="58"/>
      <c r="C572" s="37"/>
      <c r="D572" s="97"/>
      <c r="E572" s="98"/>
      <c r="F572" s="101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3"/>
      <c r="T572" s="83"/>
      <c r="U572" s="85"/>
      <c r="V572" s="83"/>
      <c r="W572" s="85"/>
      <c r="X572" s="97"/>
      <c r="Y572" s="100"/>
      <c r="Z572" s="100"/>
      <c r="AA572" s="100"/>
      <c r="AB572" s="100"/>
      <c r="AC572" s="100"/>
      <c r="AD572" s="98"/>
      <c r="AE572" s="83"/>
      <c r="AF572" s="84"/>
      <c r="AG572" s="85"/>
      <c r="AH572" s="83"/>
      <c r="AI572" s="84"/>
      <c r="AJ572" s="84"/>
      <c r="AK572" s="85"/>
      <c r="AL572" s="83"/>
      <c r="AM572" s="84"/>
      <c r="AN572" s="85"/>
      <c r="AO572" s="60"/>
      <c r="AP572" s="61"/>
      <c r="AQ572" s="77">
        <f t="shared" si="17"/>
        <v>0</v>
      </c>
      <c r="AR572" s="37"/>
      <c r="AS572" s="78">
        <f t="shared" si="18"/>
        <v>0</v>
      </c>
      <c r="AT572" s="37"/>
      <c r="AU572" s="37"/>
      <c r="AV572" s="37"/>
      <c r="AW572" s="37"/>
      <c r="AX572" s="37"/>
    </row>
    <row r="573" spans="1:50" ht="20.100000000000001" customHeight="1" x14ac:dyDescent="0.25">
      <c r="A573" s="37"/>
      <c r="B573" s="58"/>
      <c r="C573" s="37"/>
      <c r="D573" s="97"/>
      <c r="E573" s="98"/>
      <c r="F573" s="101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3"/>
      <c r="T573" s="83"/>
      <c r="U573" s="85"/>
      <c r="V573" s="83"/>
      <c r="W573" s="85"/>
      <c r="X573" s="97"/>
      <c r="Y573" s="100"/>
      <c r="Z573" s="100"/>
      <c r="AA573" s="100"/>
      <c r="AB573" s="100"/>
      <c r="AC573" s="100"/>
      <c r="AD573" s="98"/>
      <c r="AE573" s="83"/>
      <c r="AF573" s="84"/>
      <c r="AG573" s="85"/>
      <c r="AH573" s="83"/>
      <c r="AI573" s="84"/>
      <c r="AJ573" s="84"/>
      <c r="AK573" s="85"/>
      <c r="AL573" s="83"/>
      <c r="AM573" s="84"/>
      <c r="AN573" s="85"/>
      <c r="AO573" s="60"/>
      <c r="AP573" s="61"/>
      <c r="AQ573" s="77">
        <f t="shared" si="17"/>
        <v>0</v>
      </c>
      <c r="AR573" s="37"/>
      <c r="AS573" s="78">
        <f t="shared" si="18"/>
        <v>0</v>
      </c>
      <c r="AT573" s="37"/>
      <c r="AU573" s="37"/>
      <c r="AV573" s="37"/>
      <c r="AW573" s="37"/>
      <c r="AX573" s="37"/>
    </row>
    <row r="574" spans="1:50" ht="20.100000000000001" customHeight="1" x14ac:dyDescent="0.25">
      <c r="A574" s="37"/>
      <c r="B574" s="58"/>
      <c r="C574" s="37"/>
      <c r="D574" s="97"/>
      <c r="E574" s="98"/>
      <c r="F574" s="101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3"/>
      <c r="T574" s="83"/>
      <c r="U574" s="85"/>
      <c r="V574" s="83"/>
      <c r="W574" s="85"/>
      <c r="X574" s="97"/>
      <c r="Y574" s="100"/>
      <c r="Z574" s="100"/>
      <c r="AA574" s="100"/>
      <c r="AB574" s="100"/>
      <c r="AC574" s="100"/>
      <c r="AD574" s="98"/>
      <c r="AE574" s="83"/>
      <c r="AF574" s="84"/>
      <c r="AG574" s="85"/>
      <c r="AH574" s="83"/>
      <c r="AI574" s="84"/>
      <c r="AJ574" s="84"/>
      <c r="AK574" s="85"/>
      <c r="AL574" s="83"/>
      <c r="AM574" s="84"/>
      <c r="AN574" s="85"/>
      <c r="AO574" s="60"/>
      <c r="AP574" s="61"/>
      <c r="AQ574" s="77">
        <f t="shared" si="17"/>
        <v>0</v>
      </c>
      <c r="AR574" s="37"/>
      <c r="AS574" s="78">
        <f t="shared" si="18"/>
        <v>0</v>
      </c>
      <c r="AT574" s="37"/>
      <c r="AU574" s="37"/>
      <c r="AV574" s="37"/>
      <c r="AW574" s="37"/>
      <c r="AX574" s="37"/>
    </row>
    <row r="575" spans="1:50" ht="20.100000000000001" customHeight="1" x14ac:dyDescent="0.25">
      <c r="A575" s="37"/>
      <c r="B575" s="58"/>
      <c r="C575" s="37"/>
      <c r="D575" s="97"/>
      <c r="E575" s="98"/>
      <c r="F575" s="101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3"/>
      <c r="T575" s="83"/>
      <c r="U575" s="85"/>
      <c r="V575" s="83"/>
      <c r="W575" s="85"/>
      <c r="X575" s="97"/>
      <c r="Y575" s="100"/>
      <c r="Z575" s="100"/>
      <c r="AA575" s="100"/>
      <c r="AB575" s="100"/>
      <c r="AC575" s="100"/>
      <c r="AD575" s="98"/>
      <c r="AE575" s="83"/>
      <c r="AF575" s="84"/>
      <c r="AG575" s="85"/>
      <c r="AH575" s="83"/>
      <c r="AI575" s="84"/>
      <c r="AJ575" s="84"/>
      <c r="AK575" s="85"/>
      <c r="AL575" s="83"/>
      <c r="AM575" s="84"/>
      <c r="AN575" s="85"/>
      <c r="AO575" s="60"/>
      <c r="AP575" s="61"/>
      <c r="AQ575" s="77">
        <f t="shared" si="17"/>
        <v>0</v>
      </c>
      <c r="AR575" s="37"/>
      <c r="AS575" s="78">
        <f t="shared" si="18"/>
        <v>0</v>
      </c>
      <c r="AT575" s="37"/>
      <c r="AU575" s="37"/>
      <c r="AV575" s="37"/>
      <c r="AW575" s="37"/>
      <c r="AX575" s="37"/>
    </row>
    <row r="576" spans="1:50" ht="20.100000000000001" customHeight="1" x14ac:dyDescent="0.25">
      <c r="A576" s="37"/>
      <c r="B576" s="58"/>
      <c r="C576" s="37"/>
      <c r="D576" s="97"/>
      <c r="E576" s="98"/>
      <c r="F576" s="101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3"/>
      <c r="T576" s="83"/>
      <c r="U576" s="85"/>
      <c r="V576" s="83"/>
      <c r="W576" s="85"/>
      <c r="X576" s="97"/>
      <c r="Y576" s="100"/>
      <c r="Z576" s="100"/>
      <c r="AA576" s="100"/>
      <c r="AB576" s="100"/>
      <c r="AC576" s="100"/>
      <c r="AD576" s="98"/>
      <c r="AE576" s="83"/>
      <c r="AF576" s="84"/>
      <c r="AG576" s="85"/>
      <c r="AH576" s="83"/>
      <c r="AI576" s="84"/>
      <c r="AJ576" s="84"/>
      <c r="AK576" s="85"/>
      <c r="AL576" s="83"/>
      <c r="AM576" s="84"/>
      <c r="AN576" s="85"/>
      <c r="AO576" s="60"/>
      <c r="AP576" s="61"/>
      <c r="AQ576" s="77">
        <f t="shared" si="17"/>
        <v>0</v>
      </c>
      <c r="AR576" s="37"/>
      <c r="AS576" s="78">
        <f t="shared" si="18"/>
        <v>0</v>
      </c>
      <c r="AT576" s="37"/>
      <c r="AU576" s="37"/>
      <c r="AV576" s="37"/>
      <c r="AW576" s="37"/>
      <c r="AX576" s="37"/>
    </row>
    <row r="577" spans="1:50" ht="20.100000000000001" customHeight="1" x14ac:dyDescent="0.25">
      <c r="A577" s="37"/>
      <c r="B577" s="58"/>
      <c r="C577" s="37"/>
      <c r="D577" s="97"/>
      <c r="E577" s="98"/>
      <c r="F577" s="101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3"/>
      <c r="T577" s="83"/>
      <c r="U577" s="85"/>
      <c r="V577" s="83"/>
      <c r="W577" s="85"/>
      <c r="X577" s="97"/>
      <c r="Y577" s="100"/>
      <c r="Z577" s="100"/>
      <c r="AA577" s="100"/>
      <c r="AB577" s="100"/>
      <c r="AC577" s="100"/>
      <c r="AD577" s="98"/>
      <c r="AE577" s="83"/>
      <c r="AF577" s="84"/>
      <c r="AG577" s="85"/>
      <c r="AH577" s="83"/>
      <c r="AI577" s="84"/>
      <c r="AJ577" s="84"/>
      <c r="AK577" s="85"/>
      <c r="AL577" s="83"/>
      <c r="AM577" s="84"/>
      <c r="AN577" s="85"/>
      <c r="AO577" s="60"/>
      <c r="AP577" s="61"/>
      <c r="AQ577" s="77">
        <f t="shared" si="17"/>
        <v>0</v>
      </c>
      <c r="AR577" s="37"/>
      <c r="AS577" s="78">
        <f t="shared" si="18"/>
        <v>0</v>
      </c>
      <c r="AT577" s="37"/>
      <c r="AU577" s="37"/>
      <c r="AV577" s="37"/>
      <c r="AW577" s="37"/>
      <c r="AX577" s="37"/>
    </row>
    <row r="578" spans="1:50" ht="20.100000000000001" customHeight="1" x14ac:dyDescent="0.25">
      <c r="A578" s="37"/>
      <c r="B578" s="58"/>
      <c r="C578" s="37"/>
      <c r="D578" s="97"/>
      <c r="E578" s="98"/>
      <c r="F578" s="101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3"/>
      <c r="T578" s="83"/>
      <c r="U578" s="85"/>
      <c r="V578" s="83"/>
      <c r="W578" s="85"/>
      <c r="X578" s="97"/>
      <c r="Y578" s="100"/>
      <c r="Z578" s="100"/>
      <c r="AA578" s="100"/>
      <c r="AB578" s="100"/>
      <c r="AC578" s="100"/>
      <c r="AD578" s="98"/>
      <c r="AE578" s="83"/>
      <c r="AF578" s="84"/>
      <c r="AG578" s="85"/>
      <c r="AH578" s="83"/>
      <c r="AI578" s="84"/>
      <c r="AJ578" s="84"/>
      <c r="AK578" s="85"/>
      <c r="AL578" s="83"/>
      <c r="AM578" s="84"/>
      <c r="AN578" s="85"/>
      <c r="AO578" s="60"/>
      <c r="AP578" s="61"/>
      <c r="AQ578" s="77">
        <f t="shared" si="17"/>
        <v>0</v>
      </c>
      <c r="AR578" s="37"/>
      <c r="AS578" s="78">
        <f t="shared" si="18"/>
        <v>0</v>
      </c>
      <c r="AT578" s="37"/>
      <c r="AU578" s="37"/>
      <c r="AV578" s="37"/>
      <c r="AW578" s="37"/>
      <c r="AX578" s="37"/>
    </row>
    <row r="579" spans="1:50" ht="20.100000000000001" customHeight="1" x14ac:dyDescent="0.25">
      <c r="A579" s="37"/>
      <c r="B579" s="58"/>
      <c r="C579" s="37"/>
      <c r="D579" s="97"/>
      <c r="E579" s="98"/>
      <c r="F579" s="101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3"/>
      <c r="T579" s="83"/>
      <c r="U579" s="85"/>
      <c r="V579" s="83"/>
      <c r="W579" s="85"/>
      <c r="X579" s="97"/>
      <c r="Y579" s="100"/>
      <c r="Z579" s="100"/>
      <c r="AA579" s="100"/>
      <c r="AB579" s="100"/>
      <c r="AC579" s="100"/>
      <c r="AD579" s="98"/>
      <c r="AE579" s="83"/>
      <c r="AF579" s="84"/>
      <c r="AG579" s="85"/>
      <c r="AH579" s="83"/>
      <c r="AI579" s="84"/>
      <c r="AJ579" s="84"/>
      <c r="AK579" s="85"/>
      <c r="AL579" s="83"/>
      <c r="AM579" s="84"/>
      <c r="AN579" s="85"/>
      <c r="AO579" s="60"/>
      <c r="AP579" s="61"/>
      <c r="AQ579" s="77">
        <f t="shared" si="17"/>
        <v>0</v>
      </c>
      <c r="AR579" s="37"/>
      <c r="AS579" s="78">
        <f t="shared" si="18"/>
        <v>0</v>
      </c>
      <c r="AT579" s="37"/>
      <c r="AU579" s="37"/>
      <c r="AV579" s="37"/>
      <c r="AW579" s="37"/>
      <c r="AX579" s="37"/>
    </row>
    <row r="580" spans="1:50" ht="20.100000000000001" customHeight="1" x14ac:dyDescent="0.25">
      <c r="A580" s="37"/>
      <c r="B580" s="58"/>
      <c r="C580" s="37"/>
      <c r="D580" s="97"/>
      <c r="E580" s="98"/>
      <c r="F580" s="101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3"/>
      <c r="T580" s="83"/>
      <c r="U580" s="85"/>
      <c r="V580" s="83"/>
      <c r="W580" s="85"/>
      <c r="X580" s="97"/>
      <c r="Y580" s="100"/>
      <c r="Z580" s="100"/>
      <c r="AA580" s="100"/>
      <c r="AB580" s="100"/>
      <c r="AC580" s="100"/>
      <c r="AD580" s="98"/>
      <c r="AE580" s="83"/>
      <c r="AF580" s="84"/>
      <c r="AG580" s="85"/>
      <c r="AH580" s="83"/>
      <c r="AI580" s="84"/>
      <c r="AJ580" s="84"/>
      <c r="AK580" s="85"/>
      <c r="AL580" s="83"/>
      <c r="AM580" s="84"/>
      <c r="AN580" s="85"/>
      <c r="AO580" s="60"/>
      <c r="AP580" s="61"/>
      <c r="AQ580" s="77">
        <f t="shared" si="17"/>
        <v>0</v>
      </c>
      <c r="AR580" s="37"/>
      <c r="AS580" s="78">
        <f t="shared" si="18"/>
        <v>0</v>
      </c>
      <c r="AT580" s="37"/>
      <c r="AU580" s="37"/>
      <c r="AV580" s="37"/>
      <c r="AW580" s="37"/>
      <c r="AX580" s="37"/>
    </row>
    <row r="581" spans="1:50" ht="20.100000000000001" customHeight="1" x14ac:dyDescent="0.25">
      <c r="A581" s="37"/>
      <c r="B581" s="58"/>
      <c r="C581" s="37"/>
      <c r="D581" s="97"/>
      <c r="E581" s="98"/>
      <c r="F581" s="101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3"/>
      <c r="T581" s="83"/>
      <c r="U581" s="85"/>
      <c r="V581" s="83"/>
      <c r="W581" s="85"/>
      <c r="X581" s="97"/>
      <c r="Y581" s="100"/>
      <c r="Z581" s="100"/>
      <c r="AA581" s="100"/>
      <c r="AB581" s="100"/>
      <c r="AC581" s="100"/>
      <c r="AD581" s="98"/>
      <c r="AE581" s="83"/>
      <c r="AF581" s="84"/>
      <c r="AG581" s="85"/>
      <c r="AH581" s="83"/>
      <c r="AI581" s="84"/>
      <c r="AJ581" s="84"/>
      <c r="AK581" s="85"/>
      <c r="AL581" s="83"/>
      <c r="AM581" s="84"/>
      <c r="AN581" s="85"/>
      <c r="AO581" s="60"/>
      <c r="AP581" s="61"/>
      <c r="AQ581" s="77">
        <f t="shared" si="17"/>
        <v>0</v>
      </c>
      <c r="AR581" s="37"/>
      <c r="AS581" s="78">
        <f t="shared" si="18"/>
        <v>0</v>
      </c>
      <c r="AT581" s="37"/>
      <c r="AU581" s="37"/>
      <c r="AV581" s="37"/>
      <c r="AW581" s="37"/>
      <c r="AX581" s="37"/>
    </row>
    <row r="582" spans="1:50" ht="20.100000000000001" customHeight="1" x14ac:dyDescent="0.25">
      <c r="A582" s="37"/>
      <c r="B582" s="58"/>
      <c r="C582" s="37"/>
      <c r="D582" s="97"/>
      <c r="E582" s="98"/>
      <c r="F582" s="101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3"/>
      <c r="T582" s="83"/>
      <c r="U582" s="85"/>
      <c r="V582" s="83"/>
      <c r="W582" s="85"/>
      <c r="X582" s="97"/>
      <c r="Y582" s="100"/>
      <c r="Z582" s="100"/>
      <c r="AA582" s="100"/>
      <c r="AB582" s="100"/>
      <c r="AC582" s="100"/>
      <c r="AD582" s="98"/>
      <c r="AE582" s="83"/>
      <c r="AF582" s="84"/>
      <c r="AG582" s="85"/>
      <c r="AH582" s="83"/>
      <c r="AI582" s="84"/>
      <c r="AJ582" s="84"/>
      <c r="AK582" s="85"/>
      <c r="AL582" s="83"/>
      <c r="AM582" s="84"/>
      <c r="AN582" s="85"/>
      <c r="AO582" s="60"/>
      <c r="AP582" s="61"/>
      <c r="AQ582" s="77">
        <f t="shared" ref="AQ582:AQ645" si="19">AP582-B582</f>
        <v>0</v>
      </c>
      <c r="AR582" s="37"/>
      <c r="AS582" s="78">
        <f t="shared" si="18"/>
        <v>0</v>
      </c>
      <c r="AT582" s="37"/>
      <c r="AU582" s="37"/>
      <c r="AV582" s="37"/>
      <c r="AW582" s="37"/>
      <c r="AX582" s="37"/>
    </row>
    <row r="583" spans="1:50" ht="20.100000000000001" customHeight="1" x14ac:dyDescent="0.25">
      <c r="A583" s="37"/>
      <c r="B583" s="58"/>
      <c r="C583" s="37"/>
      <c r="D583" s="97"/>
      <c r="E583" s="98"/>
      <c r="F583" s="101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3"/>
      <c r="T583" s="83"/>
      <c r="U583" s="85"/>
      <c r="V583" s="83"/>
      <c r="W583" s="85"/>
      <c r="X583" s="97"/>
      <c r="Y583" s="100"/>
      <c r="Z583" s="100"/>
      <c r="AA583" s="100"/>
      <c r="AB583" s="100"/>
      <c r="AC583" s="100"/>
      <c r="AD583" s="98"/>
      <c r="AE583" s="83"/>
      <c r="AF583" s="84"/>
      <c r="AG583" s="85"/>
      <c r="AH583" s="83"/>
      <c r="AI583" s="84"/>
      <c r="AJ583" s="84"/>
      <c r="AK583" s="85"/>
      <c r="AL583" s="83"/>
      <c r="AM583" s="84"/>
      <c r="AN583" s="85"/>
      <c r="AO583" s="60"/>
      <c r="AP583" s="61"/>
      <c r="AQ583" s="77">
        <f t="shared" si="19"/>
        <v>0</v>
      </c>
      <c r="AR583" s="37"/>
      <c r="AS583" s="78">
        <f t="shared" ref="AS583:AS646" si="20">AP583-AR583</f>
        <v>0</v>
      </c>
      <c r="AT583" s="37"/>
      <c r="AU583" s="37"/>
      <c r="AV583" s="37"/>
      <c r="AW583" s="37"/>
      <c r="AX583" s="37"/>
    </row>
    <row r="584" spans="1:50" ht="20.100000000000001" customHeight="1" x14ac:dyDescent="0.25">
      <c r="A584" s="37"/>
      <c r="B584" s="58"/>
      <c r="C584" s="37"/>
      <c r="D584" s="97"/>
      <c r="E584" s="98"/>
      <c r="F584" s="101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3"/>
      <c r="T584" s="83"/>
      <c r="U584" s="85"/>
      <c r="V584" s="83"/>
      <c r="W584" s="85"/>
      <c r="X584" s="97"/>
      <c r="Y584" s="100"/>
      <c r="Z584" s="100"/>
      <c r="AA584" s="100"/>
      <c r="AB584" s="100"/>
      <c r="AC584" s="100"/>
      <c r="AD584" s="98"/>
      <c r="AE584" s="83"/>
      <c r="AF584" s="84"/>
      <c r="AG584" s="85"/>
      <c r="AH584" s="83"/>
      <c r="AI584" s="84"/>
      <c r="AJ584" s="84"/>
      <c r="AK584" s="85"/>
      <c r="AL584" s="83"/>
      <c r="AM584" s="84"/>
      <c r="AN584" s="85"/>
      <c r="AO584" s="60"/>
      <c r="AP584" s="61"/>
      <c r="AQ584" s="77">
        <f t="shared" si="19"/>
        <v>0</v>
      </c>
      <c r="AR584" s="37"/>
      <c r="AS584" s="78">
        <f t="shared" si="20"/>
        <v>0</v>
      </c>
      <c r="AT584" s="37"/>
      <c r="AU584" s="37"/>
      <c r="AV584" s="37"/>
      <c r="AW584" s="37"/>
      <c r="AX584" s="37"/>
    </row>
    <row r="585" spans="1:50" ht="20.100000000000001" customHeight="1" x14ac:dyDescent="0.25">
      <c r="A585" s="37"/>
      <c r="B585" s="58"/>
      <c r="C585" s="37"/>
      <c r="D585" s="97"/>
      <c r="E585" s="98"/>
      <c r="F585" s="101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3"/>
      <c r="T585" s="83"/>
      <c r="U585" s="85"/>
      <c r="V585" s="83"/>
      <c r="W585" s="85"/>
      <c r="X585" s="97"/>
      <c r="Y585" s="100"/>
      <c r="Z585" s="100"/>
      <c r="AA585" s="100"/>
      <c r="AB585" s="100"/>
      <c r="AC585" s="100"/>
      <c r="AD585" s="98"/>
      <c r="AE585" s="83"/>
      <c r="AF585" s="84"/>
      <c r="AG585" s="85"/>
      <c r="AH585" s="83"/>
      <c r="AI585" s="84"/>
      <c r="AJ585" s="84"/>
      <c r="AK585" s="85"/>
      <c r="AL585" s="83"/>
      <c r="AM585" s="84"/>
      <c r="AN585" s="85"/>
      <c r="AO585" s="60"/>
      <c r="AP585" s="61"/>
      <c r="AQ585" s="77">
        <f t="shared" si="19"/>
        <v>0</v>
      </c>
      <c r="AR585" s="37"/>
      <c r="AS585" s="78">
        <f t="shared" si="20"/>
        <v>0</v>
      </c>
      <c r="AT585" s="37"/>
      <c r="AU585" s="37"/>
      <c r="AV585" s="37"/>
      <c r="AW585" s="37"/>
      <c r="AX585" s="37"/>
    </row>
    <row r="586" spans="1:50" ht="20.100000000000001" customHeight="1" x14ac:dyDescent="0.25">
      <c r="A586" s="37"/>
      <c r="B586" s="58"/>
      <c r="C586" s="37"/>
      <c r="D586" s="97"/>
      <c r="E586" s="98"/>
      <c r="F586" s="101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3"/>
      <c r="T586" s="83"/>
      <c r="U586" s="85"/>
      <c r="V586" s="83"/>
      <c r="W586" s="85"/>
      <c r="X586" s="97"/>
      <c r="Y586" s="100"/>
      <c r="Z586" s="100"/>
      <c r="AA586" s="100"/>
      <c r="AB586" s="100"/>
      <c r="AC586" s="100"/>
      <c r="AD586" s="98"/>
      <c r="AE586" s="83"/>
      <c r="AF586" s="84"/>
      <c r="AG586" s="85"/>
      <c r="AH586" s="83"/>
      <c r="AI586" s="84"/>
      <c r="AJ586" s="84"/>
      <c r="AK586" s="85"/>
      <c r="AL586" s="83"/>
      <c r="AM586" s="84"/>
      <c r="AN586" s="85"/>
      <c r="AO586" s="60"/>
      <c r="AP586" s="61"/>
      <c r="AQ586" s="77">
        <f t="shared" si="19"/>
        <v>0</v>
      </c>
      <c r="AR586" s="37"/>
      <c r="AS586" s="78">
        <f t="shared" si="20"/>
        <v>0</v>
      </c>
      <c r="AT586" s="37"/>
      <c r="AU586" s="37"/>
      <c r="AV586" s="37"/>
      <c r="AW586" s="37"/>
      <c r="AX586" s="37"/>
    </row>
    <row r="587" spans="1:50" ht="20.100000000000001" customHeight="1" x14ac:dyDescent="0.25">
      <c r="A587" s="37"/>
      <c r="B587" s="58"/>
      <c r="C587" s="37"/>
      <c r="D587" s="97"/>
      <c r="E587" s="98"/>
      <c r="F587" s="101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3"/>
      <c r="T587" s="83"/>
      <c r="U587" s="85"/>
      <c r="V587" s="83"/>
      <c r="W587" s="85"/>
      <c r="X587" s="97"/>
      <c r="Y587" s="100"/>
      <c r="Z587" s="100"/>
      <c r="AA587" s="100"/>
      <c r="AB587" s="100"/>
      <c r="AC587" s="100"/>
      <c r="AD587" s="98"/>
      <c r="AE587" s="83"/>
      <c r="AF587" s="84"/>
      <c r="AG587" s="85"/>
      <c r="AH587" s="83"/>
      <c r="AI587" s="84"/>
      <c r="AJ587" s="84"/>
      <c r="AK587" s="85"/>
      <c r="AL587" s="83"/>
      <c r="AM587" s="84"/>
      <c r="AN587" s="85"/>
      <c r="AO587" s="60"/>
      <c r="AP587" s="61"/>
      <c r="AQ587" s="77">
        <f t="shared" si="19"/>
        <v>0</v>
      </c>
      <c r="AR587" s="37"/>
      <c r="AS587" s="78">
        <f t="shared" si="20"/>
        <v>0</v>
      </c>
      <c r="AT587" s="37"/>
      <c r="AU587" s="37"/>
      <c r="AV587" s="37"/>
      <c r="AW587" s="37"/>
      <c r="AX587" s="37"/>
    </row>
    <row r="588" spans="1:50" ht="20.100000000000001" customHeight="1" x14ac:dyDescent="0.25">
      <c r="A588" s="37"/>
      <c r="B588" s="58"/>
      <c r="C588" s="37"/>
      <c r="D588" s="97"/>
      <c r="E588" s="98"/>
      <c r="F588" s="101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3"/>
      <c r="T588" s="83"/>
      <c r="U588" s="85"/>
      <c r="V588" s="83"/>
      <c r="W588" s="85"/>
      <c r="X588" s="97"/>
      <c r="Y588" s="100"/>
      <c r="Z588" s="100"/>
      <c r="AA588" s="100"/>
      <c r="AB588" s="100"/>
      <c r="AC588" s="100"/>
      <c r="AD588" s="98"/>
      <c r="AE588" s="83"/>
      <c r="AF588" s="84"/>
      <c r="AG588" s="85"/>
      <c r="AH588" s="83"/>
      <c r="AI588" s="84"/>
      <c r="AJ588" s="84"/>
      <c r="AK588" s="85"/>
      <c r="AL588" s="83"/>
      <c r="AM588" s="84"/>
      <c r="AN588" s="85"/>
      <c r="AO588" s="60"/>
      <c r="AP588" s="61"/>
      <c r="AQ588" s="77">
        <f t="shared" si="19"/>
        <v>0</v>
      </c>
      <c r="AR588" s="37"/>
      <c r="AS588" s="78">
        <f t="shared" si="20"/>
        <v>0</v>
      </c>
      <c r="AT588" s="37"/>
      <c r="AU588" s="37"/>
      <c r="AV588" s="37"/>
      <c r="AW588" s="37"/>
      <c r="AX588" s="37"/>
    </row>
    <row r="589" spans="1:50" ht="20.100000000000001" customHeight="1" x14ac:dyDescent="0.25">
      <c r="A589" s="37"/>
      <c r="B589" s="58"/>
      <c r="C589" s="37"/>
      <c r="D589" s="97"/>
      <c r="E589" s="98"/>
      <c r="F589" s="101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3"/>
      <c r="T589" s="83"/>
      <c r="U589" s="85"/>
      <c r="V589" s="83"/>
      <c r="W589" s="85"/>
      <c r="X589" s="97"/>
      <c r="Y589" s="100"/>
      <c r="Z589" s="100"/>
      <c r="AA589" s="100"/>
      <c r="AB589" s="100"/>
      <c r="AC589" s="100"/>
      <c r="AD589" s="98"/>
      <c r="AE589" s="83"/>
      <c r="AF589" s="84"/>
      <c r="AG589" s="85"/>
      <c r="AH589" s="83"/>
      <c r="AI589" s="84"/>
      <c r="AJ589" s="84"/>
      <c r="AK589" s="85"/>
      <c r="AL589" s="83"/>
      <c r="AM589" s="84"/>
      <c r="AN589" s="85"/>
      <c r="AO589" s="60"/>
      <c r="AP589" s="61"/>
      <c r="AQ589" s="77">
        <f t="shared" si="19"/>
        <v>0</v>
      </c>
      <c r="AR589" s="37"/>
      <c r="AS589" s="78">
        <f t="shared" si="20"/>
        <v>0</v>
      </c>
      <c r="AT589" s="37"/>
      <c r="AU589" s="37"/>
      <c r="AV589" s="37"/>
      <c r="AW589" s="37"/>
      <c r="AX589" s="37"/>
    </row>
    <row r="590" spans="1:50" ht="20.100000000000001" customHeight="1" x14ac:dyDescent="0.25">
      <c r="A590" s="37"/>
      <c r="B590" s="58"/>
      <c r="C590" s="37"/>
      <c r="D590" s="97"/>
      <c r="E590" s="98"/>
      <c r="F590" s="101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3"/>
      <c r="T590" s="83"/>
      <c r="U590" s="85"/>
      <c r="V590" s="83"/>
      <c r="W590" s="85"/>
      <c r="X590" s="97"/>
      <c r="Y590" s="100"/>
      <c r="Z590" s="100"/>
      <c r="AA590" s="100"/>
      <c r="AB590" s="100"/>
      <c r="AC590" s="100"/>
      <c r="AD590" s="98"/>
      <c r="AE590" s="83"/>
      <c r="AF590" s="84"/>
      <c r="AG590" s="85"/>
      <c r="AH590" s="83"/>
      <c r="AI590" s="84"/>
      <c r="AJ590" s="84"/>
      <c r="AK590" s="85"/>
      <c r="AL590" s="83"/>
      <c r="AM590" s="84"/>
      <c r="AN590" s="85"/>
      <c r="AO590" s="60"/>
      <c r="AP590" s="61"/>
      <c r="AQ590" s="77">
        <f t="shared" si="19"/>
        <v>0</v>
      </c>
      <c r="AR590" s="37"/>
      <c r="AS590" s="78">
        <f t="shared" si="20"/>
        <v>0</v>
      </c>
      <c r="AT590" s="37"/>
      <c r="AU590" s="37"/>
      <c r="AV590" s="37"/>
      <c r="AW590" s="37"/>
      <c r="AX590" s="37"/>
    </row>
    <row r="591" spans="1:50" ht="20.100000000000001" customHeight="1" x14ac:dyDescent="0.25">
      <c r="A591" s="37"/>
      <c r="B591" s="58"/>
      <c r="C591" s="37"/>
      <c r="D591" s="97"/>
      <c r="E591" s="98"/>
      <c r="F591" s="101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3"/>
      <c r="T591" s="83"/>
      <c r="U591" s="85"/>
      <c r="V591" s="83"/>
      <c r="W591" s="85"/>
      <c r="X591" s="97"/>
      <c r="Y591" s="100"/>
      <c r="Z591" s="100"/>
      <c r="AA591" s="100"/>
      <c r="AB591" s="100"/>
      <c r="AC591" s="100"/>
      <c r="AD591" s="98"/>
      <c r="AE591" s="83"/>
      <c r="AF591" s="84"/>
      <c r="AG591" s="85"/>
      <c r="AH591" s="83"/>
      <c r="AI591" s="84"/>
      <c r="AJ591" s="84"/>
      <c r="AK591" s="85"/>
      <c r="AL591" s="83"/>
      <c r="AM591" s="84"/>
      <c r="AN591" s="85"/>
      <c r="AO591" s="60"/>
      <c r="AP591" s="61"/>
      <c r="AQ591" s="77">
        <f t="shared" si="19"/>
        <v>0</v>
      </c>
      <c r="AR591" s="37"/>
      <c r="AS591" s="78">
        <f t="shared" si="20"/>
        <v>0</v>
      </c>
      <c r="AT591" s="37"/>
      <c r="AU591" s="37"/>
      <c r="AV591" s="37"/>
      <c r="AW591" s="37"/>
      <c r="AX591" s="37"/>
    </row>
    <row r="592" spans="1:50" ht="20.100000000000001" customHeight="1" x14ac:dyDescent="0.25">
      <c r="A592" s="37"/>
      <c r="B592" s="58"/>
      <c r="C592" s="37"/>
      <c r="D592" s="97"/>
      <c r="E592" s="98"/>
      <c r="F592" s="101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3"/>
      <c r="T592" s="83"/>
      <c r="U592" s="85"/>
      <c r="V592" s="83"/>
      <c r="W592" s="85"/>
      <c r="X592" s="97"/>
      <c r="Y592" s="100"/>
      <c r="Z592" s="100"/>
      <c r="AA592" s="100"/>
      <c r="AB592" s="100"/>
      <c r="AC592" s="100"/>
      <c r="AD592" s="98"/>
      <c r="AE592" s="83"/>
      <c r="AF592" s="84"/>
      <c r="AG592" s="85"/>
      <c r="AH592" s="83"/>
      <c r="AI592" s="84"/>
      <c r="AJ592" s="84"/>
      <c r="AK592" s="85"/>
      <c r="AL592" s="83"/>
      <c r="AM592" s="84"/>
      <c r="AN592" s="85"/>
      <c r="AO592" s="60"/>
      <c r="AP592" s="61"/>
      <c r="AQ592" s="77">
        <f t="shared" si="19"/>
        <v>0</v>
      </c>
      <c r="AR592" s="37"/>
      <c r="AS592" s="78">
        <f t="shared" si="20"/>
        <v>0</v>
      </c>
      <c r="AT592" s="37"/>
      <c r="AU592" s="37"/>
      <c r="AV592" s="37"/>
      <c r="AW592" s="37"/>
      <c r="AX592" s="37"/>
    </row>
    <row r="593" spans="1:50" ht="20.100000000000001" customHeight="1" x14ac:dyDescent="0.25">
      <c r="A593" s="37"/>
      <c r="B593" s="58"/>
      <c r="C593" s="37"/>
      <c r="D593" s="97"/>
      <c r="E593" s="98"/>
      <c r="F593" s="101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3"/>
      <c r="T593" s="83"/>
      <c r="U593" s="85"/>
      <c r="V593" s="83"/>
      <c r="W593" s="85"/>
      <c r="X593" s="97"/>
      <c r="Y593" s="100"/>
      <c r="Z593" s="100"/>
      <c r="AA593" s="100"/>
      <c r="AB593" s="100"/>
      <c r="AC593" s="100"/>
      <c r="AD593" s="98"/>
      <c r="AE593" s="83"/>
      <c r="AF593" s="84"/>
      <c r="AG593" s="85"/>
      <c r="AH593" s="83"/>
      <c r="AI593" s="84"/>
      <c r="AJ593" s="84"/>
      <c r="AK593" s="85"/>
      <c r="AL593" s="83"/>
      <c r="AM593" s="84"/>
      <c r="AN593" s="85"/>
      <c r="AO593" s="60"/>
      <c r="AP593" s="61"/>
      <c r="AQ593" s="77">
        <f t="shared" si="19"/>
        <v>0</v>
      </c>
      <c r="AR593" s="37"/>
      <c r="AS593" s="78">
        <f t="shared" si="20"/>
        <v>0</v>
      </c>
      <c r="AT593" s="37"/>
      <c r="AU593" s="37"/>
      <c r="AV593" s="37"/>
      <c r="AW593" s="37"/>
      <c r="AX593" s="37"/>
    </row>
    <row r="594" spans="1:50" ht="20.100000000000001" customHeight="1" x14ac:dyDescent="0.25">
      <c r="A594" s="37"/>
      <c r="B594" s="58"/>
      <c r="C594" s="37"/>
      <c r="D594" s="97"/>
      <c r="E594" s="98"/>
      <c r="F594" s="101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3"/>
      <c r="T594" s="83"/>
      <c r="U594" s="85"/>
      <c r="V594" s="83"/>
      <c r="W594" s="85"/>
      <c r="X594" s="97"/>
      <c r="Y594" s="100"/>
      <c r="Z594" s="100"/>
      <c r="AA594" s="100"/>
      <c r="AB594" s="100"/>
      <c r="AC594" s="100"/>
      <c r="AD594" s="98"/>
      <c r="AE594" s="83"/>
      <c r="AF594" s="84"/>
      <c r="AG594" s="85"/>
      <c r="AH594" s="83"/>
      <c r="AI594" s="84"/>
      <c r="AJ594" s="84"/>
      <c r="AK594" s="85"/>
      <c r="AL594" s="83"/>
      <c r="AM594" s="84"/>
      <c r="AN594" s="85"/>
      <c r="AO594" s="60"/>
      <c r="AP594" s="61"/>
      <c r="AQ594" s="77">
        <f t="shared" si="19"/>
        <v>0</v>
      </c>
      <c r="AR594" s="37"/>
      <c r="AS594" s="78">
        <f t="shared" si="20"/>
        <v>0</v>
      </c>
      <c r="AT594" s="37"/>
      <c r="AU594" s="37"/>
      <c r="AV594" s="37"/>
      <c r="AW594" s="37"/>
      <c r="AX594" s="37"/>
    </row>
    <row r="595" spans="1:50" ht="20.100000000000001" customHeight="1" x14ac:dyDescent="0.25">
      <c r="A595" s="37"/>
      <c r="B595" s="58"/>
      <c r="C595" s="37"/>
      <c r="D595" s="97"/>
      <c r="E595" s="98"/>
      <c r="F595" s="101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3"/>
      <c r="T595" s="83"/>
      <c r="U595" s="85"/>
      <c r="V595" s="83"/>
      <c r="W595" s="85"/>
      <c r="X595" s="97"/>
      <c r="Y595" s="100"/>
      <c r="Z595" s="100"/>
      <c r="AA595" s="100"/>
      <c r="AB595" s="100"/>
      <c r="AC595" s="100"/>
      <c r="AD595" s="98"/>
      <c r="AE595" s="83"/>
      <c r="AF595" s="84"/>
      <c r="AG595" s="85"/>
      <c r="AH595" s="83"/>
      <c r="AI595" s="84"/>
      <c r="AJ595" s="84"/>
      <c r="AK595" s="85"/>
      <c r="AL595" s="83"/>
      <c r="AM595" s="84"/>
      <c r="AN595" s="85"/>
      <c r="AO595" s="60"/>
      <c r="AP595" s="61"/>
      <c r="AQ595" s="77">
        <f t="shared" si="19"/>
        <v>0</v>
      </c>
      <c r="AR595" s="37"/>
      <c r="AS595" s="78">
        <f t="shared" si="20"/>
        <v>0</v>
      </c>
      <c r="AT595" s="37"/>
      <c r="AU595" s="37"/>
      <c r="AV595" s="37"/>
      <c r="AW595" s="37"/>
      <c r="AX595" s="37"/>
    </row>
    <row r="596" spans="1:50" ht="20.100000000000001" customHeight="1" x14ac:dyDescent="0.25">
      <c r="A596" s="37"/>
      <c r="B596" s="58"/>
      <c r="C596" s="37"/>
      <c r="D596" s="97"/>
      <c r="E596" s="98"/>
      <c r="F596" s="101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3"/>
      <c r="T596" s="83"/>
      <c r="U596" s="85"/>
      <c r="V596" s="83"/>
      <c r="W596" s="85"/>
      <c r="X596" s="97"/>
      <c r="Y596" s="100"/>
      <c r="Z596" s="100"/>
      <c r="AA596" s="100"/>
      <c r="AB596" s="100"/>
      <c r="AC596" s="100"/>
      <c r="AD596" s="98"/>
      <c r="AE596" s="83"/>
      <c r="AF596" s="84"/>
      <c r="AG596" s="85"/>
      <c r="AH596" s="83"/>
      <c r="AI596" s="84"/>
      <c r="AJ596" s="84"/>
      <c r="AK596" s="85"/>
      <c r="AL596" s="83"/>
      <c r="AM596" s="84"/>
      <c r="AN596" s="85"/>
      <c r="AO596" s="60"/>
      <c r="AP596" s="61"/>
      <c r="AQ596" s="77">
        <f t="shared" si="19"/>
        <v>0</v>
      </c>
      <c r="AR596" s="37"/>
      <c r="AS596" s="78">
        <f t="shared" si="20"/>
        <v>0</v>
      </c>
      <c r="AT596" s="37"/>
      <c r="AU596" s="37"/>
      <c r="AV596" s="37"/>
      <c r="AW596" s="37"/>
      <c r="AX596" s="37"/>
    </row>
    <row r="597" spans="1:50" ht="20.100000000000001" customHeight="1" x14ac:dyDescent="0.25">
      <c r="A597" s="37"/>
      <c r="B597" s="58"/>
      <c r="C597" s="37"/>
      <c r="D597" s="97"/>
      <c r="E597" s="98"/>
      <c r="F597" s="101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3"/>
      <c r="T597" s="83"/>
      <c r="U597" s="85"/>
      <c r="V597" s="83"/>
      <c r="W597" s="85"/>
      <c r="X597" s="97"/>
      <c r="Y597" s="100"/>
      <c r="Z597" s="100"/>
      <c r="AA597" s="100"/>
      <c r="AB597" s="100"/>
      <c r="AC597" s="100"/>
      <c r="AD597" s="98"/>
      <c r="AE597" s="83"/>
      <c r="AF597" s="84"/>
      <c r="AG597" s="85"/>
      <c r="AH597" s="83"/>
      <c r="AI597" s="84"/>
      <c r="AJ597" s="84"/>
      <c r="AK597" s="85"/>
      <c r="AL597" s="83"/>
      <c r="AM597" s="84"/>
      <c r="AN597" s="85"/>
      <c r="AO597" s="60"/>
      <c r="AP597" s="61"/>
      <c r="AQ597" s="77">
        <f t="shared" si="19"/>
        <v>0</v>
      </c>
      <c r="AR597" s="37"/>
      <c r="AS597" s="78">
        <f t="shared" si="20"/>
        <v>0</v>
      </c>
      <c r="AT597" s="37"/>
      <c r="AU597" s="37"/>
      <c r="AV597" s="37"/>
      <c r="AW597" s="37"/>
      <c r="AX597" s="37"/>
    </row>
    <row r="598" spans="1:50" ht="20.100000000000001" customHeight="1" x14ac:dyDescent="0.25">
      <c r="A598" s="37"/>
      <c r="B598" s="58"/>
      <c r="C598" s="37"/>
      <c r="D598" s="97"/>
      <c r="E598" s="98"/>
      <c r="F598" s="101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3"/>
      <c r="T598" s="83"/>
      <c r="U598" s="85"/>
      <c r="V598" s="83"/>
      <c r="W598" s="85"/>
      <c r="X598" s="97"/>
      <c r="Y598" s="100"/>
      <c r="Z598" s="100"/>
      <c r="AA598" s="100"/>
      <c r="AB598" s="100"/>
      <c r="AC598" s="100"/>
      <c r="AD598" s="98"/>
      <c r="AE598" s="83"/>
      <c r="AF598" s="84"/>
      <c r="AG598" s="85"/>
      <c r="AH598" s="83"/>
      <c r="AI598" s="84"/>
      <c r="AJ598" s="84"/>
      <c r="AK598" s="85"/>
      <c r="AL598" s="83"/>
      <c r="AM598" s="84"/>
      <c r="AN598" s="85"/>
      <c r="AO598" s="60"/>
      <c r="AP598" s="61"/>
      <c r="AQ598" s="77">
        <f t="shared" si="19"/>
        <v>0</v>
      </c>
      <c r="AR598" s="37"/>
      <c r="AS598" s="78">
        <f t="shared" si="20"/>
        <v>0</v>
      </c>
      <c r="AT598" s="37"/>
      <c r="AU598" s="37"/>
      <c r="AV598" s="37"/>
      <c r="AW598" s="37"/>
      <c r="AX598" s="37"/>
    </row>
    <row r="599" spans="1:50" ht="20.100000000000001" customHeight="1" x14ac:dyDescent="0.25">
      <c r="A599" s="37"/>
      <c r="B599" s="58"/>
      <c r="C599" s="37"/>
      <c r="D599" s="97"/>
      <c r="E599" s="98"/>
      <c r="F599" s="101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3"/>
      <c r="T599" s="83"/>
      <c r="U599" s="85"/>
      <c r="V599" s="83"/>
      <c r="W599" s="85"/>
      <c r="X599" s="97"/>
      <c r="Y599" s="100"/>
      <c r="Z599" s="100"/>
      <c r="AA599" s="100"/>
      <c r="AB599" s="100"/>
      <c r="AC599" s="100"/>
      <c r="AD599" s="98"/>
      <c r="AE599" s="83"/>
      <c r="AF599" s="84"/>
      <c r="AG599" s="85"/>
      <c r="AH599" s="83"/>
      <c r="AI599" s="84"/>
      <c r="AJ599" s="84"/>
      <c r="AK599" s="85"/>
      <c r="AL599" s="83"/>
      <c r="AM599" s="84"/>
      <c r="AN599" s="85"/>
      <c r="AO599" s="60"/>
      <c r="AP599" s="61"/>
      <c r="AQ599" s="77">
        <f t="shared" si="19"/>
        <v>0</v>
      </c>
      <c r="AR599" s="37"/>
      <c r="AS599" s="78">
        <f t="shared" si="20"/>
        <v>0</v>
      </c>
      <c r="AT599" s="37"/>
      <c r="AU599" s="37"/>
      <c r="AV599" s="37"/>
      <c r="AW599" s="37"/>
      <c r="AX599" s="37"/>
    </row>
    <row r="600" spans="1:50" ht="20.100000000000001" customHeight="1" x14ac:dyDescent="0.25">
      <c r="A600" s="37"/>
      <c r="B600" s="58"/>
      <c r="C600" s="37"/>
      <c r="D600" s="97"/>
      <c r="E600" s="98"/>
      <c r="F600" s="101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3"/>
      <c r="T600" s="83"/>
      <c r="U600" s="85"/>
      <c r="V600" s="83"/>
      <c r="W600" s="85"/>
      <c r="X600" s="97"/>
      <c r="Y600" s="100"/>
      <c r="Z600" s="100"/>
      <c r="AA600" s="100"/>
      <c r="AB600" s="100"/>
      <c r="AC600" s="100"/>
      <c r="AD600" s="98"/>
      <c r="AE600" s="83"/>
      <c r="AF600" s="84"/>
      <c r="AG600" s="85"/>
      <c r="AH600" s="83"/>
      <c r="AI600" s="84"/>
      <c r="AJ600" s="84"/>
      <c r="AK600" s="85"/>
      <c r="AL600" s="83"/>
      <c r="AM600" s="84"/>
      <c r="AN600" s="85"/>
      <c r="AO600" s="60"/>
      <c r="AP600" s="61"/>
      <c r="AQ600" s="77">
        <f t="shared" si="19"/>
        <v>0</v>
      </c>
      <c r="AR600" s="37"/>
      <c r="AS600" s="78">
        <f t="shared" si="20"/>
        <v>0</v>
      </c>
      <c r="AT600" s="37"/>
      <c r="AU600" s="37"/>
      <c r="AV600" s="37"/>
      <c r="AW600" s="37"/>
      <c r="AX600" s="37"/>
    </row>
    <row r="601" spans="1:50" ht="20.100000000000001" customHeight="1" x14ac:dyDescent="0.25">
      <c r="A601" s="37"/>
      <c r="B601" s="58"/>
      <c r="C601" s="37"/>
      <c r="D601" s="97"/>
      <c r="E601" s="98"/>
      <c r="F601" s="101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3"/>
      <c r="T601" s="83"/>
      <c r="U601" s="85"/>
      <c r="V601" s="83"/>
      <c r="W601" s="85"/>
      <c r="X601" s="97"/>
      <c r="Y601" s="100"/>
      <c r="Z601" s="100"/>
      <c r="AA601" s="100"/>
      <c r="AB601" s="100"/>
      <c r="AC601" s="100"/>
      <c r="AD601" s="98"/>
      <c r="AE601" s="83"/>
      <c r="AF601" s="84"/>
      <c r="AG601" s="85"/>
      <c r="AH601" s="83"/>
      <c r="AI601" s="84"/>
      <c r="AJ601" s="84"/>
      <c r="AK601" s="85"/>
      <c r="AL601" s="83"/>
      <c r="AM601" s="84"/>
      <c r="AN601" s="85"/>
      <c r="AO601" s="60"/>
      <c r="AP601" s="61"/>
      <c r="AQ601" s="77">
        <f t="shared" si="19"/>
        <v>0</v>
      </c>
      <c r="AR601" s="37"/>
      <c r="AS601" s="78">
        <f t="shared" si="20"/>
        <v>0</v>
      </c>
      <c r="AT601" s="37"/>
      <c r="AU601" s="37"/>
      <c r="AV601" s="37"/>
      <c r="AW601" s="37"/>
      <c r="AX601" s="37"/>
    </row>
    <row r="602" spans="1:50" ht="20.100000000000001" customHeight="1" x14ac:dyDescent="0.25">
      <c r="A602" s="37"/>
      <c r="B602" s="58"/>
      <c r="C602" s="37"/>
      <c r="D602" s="97"/>
      <c r="E602" s="98"/>
      <c r="F602" s="101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3"/>
      <c r="T602" s="83"/>
      <c r="U602" s="85"/>
      <c r="V602" s="83"/>
      <c r="W602" s="85"/>
      <c r="X602" s="97"/>
      <c r="Y602" s="100"/>
      <c r="Z602" s="100"/>
      <c r="AA602" s="100"/>
      <c r="AB602" s="100"/>
      <c r="AC602" s="100"/>
      <c r="AD602" s="98"/>
      <c r="AE602" s="83"/>
      <c r="AF602" s="84"/>
      <c r="AG602" s="85"/>
      <c r="AH602" s="83"/>
      <c r="AI602" s="84"/>
      <c r="AJ602" s="84"/>
      <c r="AK602" s="85"/>
      <c r="AL602" s="83"/>
      <c r="AM602" s="84"/>
      <c r="AN602" s="85"/>
      <c r="AO602" s="60"/>
      <c r="AP602" s="61"/>
      <c r="AQ602" s="77">
        <f t="shared" si="19"/>
        <v>0</v>
      </c>
      <c r="AR602" s="37"/>
      <c r="AS602" s="78">
        <f t="shared" si="20"/>
        <v>0</v>
      </c>
      <c r="AT602" s="37"/>
      <c r="AU602" s="37"/>
      <c r="AV602" s="37"/>
      <c r="AW602" s="37"/>
      <c r="AX602" s="37"/>
    </row>
    <row r="603" spans="1:50" ht="20.100000000000001" customHeight="1" x14ac:dyDescent="0.25">
      <c r="A603" s="37"/>
      <c r="B603" s="58"/>
      <c r="C603" s="37"/>
      <c r="D603" s="97"/>
      <c r="E603" s="98"/>
      <c r="F603" s="101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3"/>
      <c r="T603" s="83"/>
      <c r="U603" s="85"/>
      <c r="V603" s="83"/>
      <c r="W603" s="85"/>
      <c r="X603" s="97"/>
      <c r="Y603" s="100"/>
      <c r="Z603" s="100"/>
      <c r="AA603" s="100"/>
      <c r="AB603" s="100"/>
      <c r="AC603" s="100"/>
      <c r="AD603" s="98"/>
      <c r="AE603" s="83"/>
      <c r="AF603" s="84"/>
      <c r="AG603" s="85"/>
      <c r="AH603" s="83"/>
      <c r="AI603" s="84"/>
      <c r="AJ603" s="84"/>
      <c r="AK603" s="85"/>
      <c r="AL603" s="83"/>
      <c r="AM603" s="84"/>
      <c r="AN603" s="85"/>
      <c r="AO603" s="60"/>
      <c r="AP603" s="61"/>
      <c r="AQ603" s="77">
        <f t="shared" si="19"/>
        <v>0</v>
      </c>
      <c r="AR603" s="37"/>
      <c r="AS603" s="78">
        <f t="shared" si="20"/>
        <v>0</v>
      </c>
      <c r="AT603" s="37"/>
      <c r="AU603" s="37"/>
      <c r="AV603" s="37"/>
      <c r="AW603" s="37"/>
      <c r="AX603" s="37"/>
    </row>
    <row r="604" spans="1:50" ht="20.100000000000001" customHeight="1" x14ac:dyDescent="0.25">
      <c r="A604" s="37"/>
      <c r="B604" s="58"/>
      <c r="C604" s="37"/>
      <c r="D604" s="97"/>
      <c r="E604" s="98"/>
      <c r="F604" s="101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3"/>
      <c r="T604" s="83"/>
      <c r="U604" s="85"/>
      <c r="V604" s="83"/>
      <c r="W604" s="85"/>
      <c r="X604" s="97"/>
      <c r="Y604" s="100"/>
      <c r="Z604" s="100"/>
      <c r="AA604" s="100"/>
      <c r="AB604" s="100"/>
      <c r="AC604" s="100"/>
      <c r="AD604" s="98"/>
      <c r="AE604" s="83"/>
      <c r="AF604" s="84"/>
      <c r="AG604" s="85"/>
      <c r="AH604" s="83"/>
      <c r="AI604" s="84"/>
      <c r="AJ604" s="84"/>
      <c r="AK604" s="85"/>
      <c r="AL604" s="83"/>
      <c r="AM604" s="84"/>
      <c r="AN604" s="85"/>
      <c r="AO604" s="60"/>
      <c r="AP604" s="61"/>
      <c r="AQ604" s="77">
        <f t="shared" si="19"/>
        <v>0</v>
      </c>
      <c r="AR604" s="37"/>
      <c r="AS604" s="78">
        <f t="shared" si="20"/>
        <v>0</v>
      </c>
      <c r="AT604" s="37"/>
      <c r="AU604" s="37"/>
      <c r="AV604" s="37"/>
      <c r="AW604" s="37"/>
      <c r="AX604" s="37"/>
    </row>
    <row r="605" spans="1:50" ht="20.100000000000001" customHeight="1" x14ac:dyDescent="0.25">
      <c r="A605" s="37"/>
      <c r="B605" s="58"/>
      <c r="C605" s="37"/>
      <c r="D605" s="97"/>
      <c r="E605" s="98"/>
      <c r="F605" s="101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3"/>
      <c r="T605" s="83"/>
      <c r="U605" s="85"/>
      <c r="V605" s="83"/>
      <c r="W605" s="85"/>
      <c r="X605" s="97"/>
      <c r="Y605" s="100"/>
      <c r="Z605" s="100"/>
      <c r="AA605" s="100"/>
      <c r="AB605" s="100"/>
      <c r="AC605" s="100"/>
      <c r="AD605" s="98"/>
      <c r="AE605" s="83"/>
      <c r="AF605" s="84"/>
      <c r="AG605" s="85"/>
      <c r="AH605" s="83"/>
      <c r="AI605" s="84"/>
      <c r="AJ605" s="84"/>
      <c r="AK605" s="85"/>
      <c r="AL605" s="83"/>
      <c r="AM605" s="84"/>
      <c r="AN605" s="85"/>
      <c r="AO605" s="60"/>
      <c r="AP605" s="61"/>
      <c r="AQ605" s="77">
        <f t="shared" si="19"/>
        <v>0</v>
      </c>
      <c r="AR605" s="37"/>
      <c r="AS605" s="78">
        <f t="shared" si="20"/>
        <v>0</v>
      </c>
      <c r="AT605" s="37"/>
      <c r="AU605" s="37"/>
      <c r="AV605" s="37"/>
      <c r="AW605" s="37"/>
      <c r="AX605" s="37"/>
    </row>
    <row r="606" spans="1:50" ht="20.100000000000001" customHeight="1" x14ac:dyDescent="0.25">
      <c r="A606" s="37"/>
      <c r="B606" s="58"/>
      <c r="C606" s="37"/>
      <c r="D606" s="97"/>
      <c r="E606" s="98"/>
      <c r="F606" s="101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3"/>
      <c r="T606" s="83"/>
      <c r="U606" s="85"/>
      <c r="V606" s="83"/>
      <c r="W606" s="85"/>
      <c r="X606" s="97"/>
      <c r="Y606" s="100"/>
      <c r="Z606" s="100"/>
      <c r="AA606" s="100"/>
      <c r="AB606" s="100"/>
      <c r="AC606" s="100"/>
      <c r="AD606" s="98"/>
      <c r="AE606" s="83"/>
      <c r="AF606" s="84"/>
      <c r="AG606" s="85"/>
      <c r="AH606" s="83"/>
      <c r="AI606" s="84"/>
      <c r="AJ606" s="84"/>
      <c r="AK606" s="85"/>
      <c r="AL606" s="83"/>
      <c r="AM606" s="84"/>
      <c r="AN606" s="85"/>
      <c r="AO606" s="60"/>
      <c r="AP606" s="61"/>
      <c r="AQ606" s="77">
        <f t="shared" si="19"/>
        <v>0</v>
      </c>
      <c r="AR606" s="37"/>
      <c r="AS606" s="78">
        <f t="shared" si="20"/>
        <v>0</v>
      </c>
      <c r="AT606" s="37"/>
      <c r="AU606" s="37"/>
      <c r="AV606" s="37"/>
      <c r="AW606" s="37"/>
      <c r="AX606" s="37"/>
    </row>
    <row r="607" spans="1:50" ht="20.100000000000001" customHeight="1" x14ac:dyDescent="0.25">
      <c r="A607" s="37"/>
      <c r="B607" s="58"/>
      <c r="C607" s="37"/>
      <c r="D607" s="97"/>
      <c r="E607" s="98"/>
      <c r="F607" s="101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3"/>
      <c r="T607" s="83"/>
      <c r="U607" s="85"/>
      <c r="V607" s="83"/>
      <c r="W607" s="85"/>
      <c r="X607" s="97"/>
      <c r="Y607" s="100"/>
      <c r="Z607" s="100"/>
      <c r="AA607" s="100"/>
      <c r="AB607" s="100"/>
      <c r="AC607" s="100"/>
      <c r="AD607" s="98"/>
      <c r="AE607" s="83"/>
      <c r="AF607" s="84"/>
      <c r="AG607" s="85"/>
      <c r="AH607" s="83"/>
      <c r="AI607" s="84"/>
      <c r="AJ607" s="84"/>
      <c r="AK607" s="85"/>
      <c r="AL607" s="83"/>
      <c r="AM607" s="84"/>
      <c r="AN607" s="85"/>
      <c r="AO607" s="60"/>
      <c r="AP607" s="61"/>
      <c r="AQ607" s="77">
        <f t="shared" si="19"/>
        <v>0</v>
      </c>
      <c r="AR607" s="37"/>
      <c r="AS607" s="78">
        <f t="shared" si="20"/>
        <v>0</v>
      </c>
      <c r="AT607" s="37"/>
      <c r="AU607" s="37"/>
      <c r="AV607" s="37"/>
      <c r="AW607" s="37"/>
      <c r="AX607" s="37"/>
    </row>
    <row r="608" spans="1:50" ht="20.100000000000001" customHeight="1" x14ac:dyDescent="0.25">
      <c r="A608" s="37"/>
      <c r="B608" s="58"/>
      <c r="C608" s="37"/>
      <c r="D608" s="97"/>
      <c r="E608" s="98"/>
      <c r="F608" s="101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3"/>
      <c r="T608" s="83"/>
      <c r="U608" s="85"/>
      <c r="V608" s="83"/>
      <c r="W608" s="85"/>
      <c r="X608" s="97"/>
      <c r="Y608" s="100"/>
      <c r="Z608" s="100"/>
      <c r="AA608" s="100"/>
      <c r="AB608" s="100"/>
      <c r="AC608" s="100"/>
      <c r="AD608" s="98"/>
      <c r="AE608" s="83"/>
      <c r="AF608" s="84"/>
      <c r="AG608" s="85"/>
      <c r="AH608" s="83"/>
      <c r="AI608" s="84"/>
      <c r="AJ608" s="84"/>
      <c r="AK608" s="85"/>
      <c r="AL608" s="83"/>
      <c r="AM608" s="84"/>
      <c r="AN608" s="85"/>
      <c r="AO608" s="60"/>
      <c r="AP608" s="61"/>
      <c r="AQ608" s="77">
        <f t="shared" si="19"/>
        <v>0</v>
      </c>
      <c r="AR608" s="37"/>
      <c r="AS608" s="78">
        <f t="shared" si="20"/>
        <v>0</v>
      </c>
      <c r="AT608" s="37"/>
      <c r="AU608" s="37"/>
      <c r="AV608" s="37"/>
      <c r="AW608" s="37"/>
      <c r="AX608" s="37"/>
    </row>
    <row r="609" spans="1:50" ht="20.100000000000001" customHeight="1" x14ac:dyDescent="0.25">
      <c r="A609" s="37"/>
      <c r="B609" s="58"/>
      <c r="C609" s="37"/>
      <c r="D609" s="97"/>
      <c r="E609" s="98"/>
      <c r="F609" s="101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3"/>
      <c r="T609" s="83"/>
      <c r="U609" s="85"/>
      <c r="V609" s="83"/>
      <c r="W609" s="85"/>
      <c r="X609" s="97"/>
      <c r="Y609" s="100"/>
      <c r="Z609" s="100"/>
      <c r="AA609" s="100"/>
      <c r="AB609" s="100"/>
      <c r="AC609" s="100"/>
      <c r="AD609" s="98"/>
      <c r="AE609" s="83"/>
      <c r="AF609" s="84"/>
      <c r="AG609" s="85"/>
      <c r="AH609" s="83"/>
      <c r="AI609" s="84"/>
      <c r="AJ609" s="84"/>
      <c r="AK609" s="85"/>
      <c r="AL609" s="83"/>
      <c r="AM609" s="84"/>
      <c r="AN609" s="85"/>
      <c r="AO609" s="60"/>
      <c r="AP609" s="61"/>
      <c r="AQ609" s="77">
        <f t="shared" si="19"/>
        <v>0</v>
      </c>
      <c r="AR609" s="37"/>
      <c r="AS609" s="78">
        <f t="shared" si="20"/>
        <v>0</v>
      </c>
      <c r="AT609" s="37"/>
      <c r="AU609" s="37"/>
      <c r="AV609" s="37"/>
      <c r="AW609" s="37"/>
      <c r="AX609" s="37"/>
    </row>
    <row r="610" spans="1:50" ht="20.100000000000001" customHeight="1" x14ac:dyDescent="0.25">
      <c r="A610" s="37"/>
      <c r="B610" s="58"/>
      <c r="C610" s="37"/>
      <c r="D610" s="97"/>
      <c r="E610" s="98"/>
      <c r="F610" s="101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3"/>
      <c r="T610" s="83"/>
      <c r="U610" s="85"/>
      <c r="V610" s="83"/>
      <c r="W610" s="85"/>
      <c r="X610" s="97"/>
      <c r="Y610" s="100"/>
      <c r="Z610" s="100"/>
      <c r="AA610" s="100"/>
      <c r="AB610" s="100"/>
      <c r="AC610" s="100"/>
      <c r="AD610" s="98"/>
      <c r="AE610" s="83"/>
      <c r="AF610" s="84"/>
      <c r="AG610" s="85"/>
      <c r="AH610" s="83"/>
      <c r="AI610" s="84"/>
      <c r="AJ610" s="84"/>
      <c r="AK610" s="85"/>
      <c r="AL610" s="83"/>
      <c r="AM610" s="84"/>
      <c r="AN610" s="85"/>
      <c r="AO610" s="60"/>
      <c r="AP610" s="61"/>
      <c r="AQ610" s="77">
        <f t="shared" si="19"/>
        <v>0</v>
      </c>
      <c r="AR610" s="37"/>
      <c r="AS610" s="78">
        <f t="shared" si="20"/>
        <v>0</v>
      </c>
      <c r="AT610" s="37"/>
      <c r="AU610" s="37"/>
      <c r="AV610" s="37"/>
      <c r="AW610" s="37"/>
      <c r="AX610" s="37"/>
    </row>
    <row r="611" spans="1:50" ht="20.100000000000001" customHeight="1" x14ac:dyDescent="0.25">
      <c r="A611" s="37"/>
      <c r="B611" s="58"/>
      <c r="C611" s="37"/>
      <c r="D611" s="97"/>
      <c r="E611" s="98"/>
      <c r="F611" s="101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3"/>
      <c r="T611" s="83"/>
      <c r="U611" s="85"/>
      <c r="V611" s="83"/>
      <c r="W611" s="85"/>
      <c r="X611" s="97"/>
      <c r="Y611" s="100"/>
      <c r="Z611" s="100"/>
      <c r="AA611" s="100"/>
      <c r="AB611" s="100"/>
      <c r="AC611" s="100"/>
      <c r="AD611" s="98"/>
      <c r="AE611" s="83"/>
      <c r="AF611" s="84"/>
      <c r="AG611" s="85"/>
      <c r="AH611" s="83"/>
      <c r="AI611" s="84"/>
      <c r="AJ611" s="84"/>
      <c r="AK611" s="85"/>
      <c r="AL611" s="83"/>
      <c r="AM611" s="84"/>
      <c r="AN611" s="85"/>
      <c r="AO611" s="60"/>
      <c r="AP611" s="61"/>
      <c r="AQ611" s="77">
        <f t="shared" si="19"/>
        <v>0</v>
      </c>
      <c r="AR611" s="37"/>
      <c r="AS611" s="78">
        <f t="shared" si="20"/>
        <v>0</v>
      </c>
      <c r="AT611" s="37"/>
      <c r="AU611" s="37"/>
      <c r="AV611" s="37"/>
      <c r="AW611" s="37"/>
      <c r="AX611" s="37"/>
    </row>
    <row r="612" spans="1:50" ht="20.100000000000001" customHeight="1" x14ac:dyDescent="0.25">
      <c r="A612" s="37"/>
      <c r="B612" s="58"/>
      <c r="C612" s="37"/>
      <c r="D612" s="97"/>
      <c r="E612" s="98"/>
      <c r="F612" s="101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3"/>
      <c r="T612" s="83"/>
      <c r="U612" s="85"/>
      <c r="V612" s="83"/>
      <c r="W612" s="85"/>
      <c r="X612" s="97"/>
      <c r="Y612" s="100"/>
      <c r="Z612" s="100"/>
      <c r="AA612" s="100"/>
      <c r="AB612" s="100"/>
      <c r="AC612" s="100"/>
      <c r="AD612" s="98"/>
      <c r="AE612" s="83"/>
      <c r="AF612" s="84"/>
      <c r="AG612" s="85"/>
      <c r="AH612" s="83"/>
      <c r="AI612" s="84"/>
      <c r="AJ612" s="84"/>
      <c r="AK612" s="85"/>
      <c r="AL612" s="83"/>
      <c r="AM612" s="84"/>
      <c r="AN612" s="85"/>
      <c r="AO612" s="60"/>
      <c r="AP612" s="61"/>
      <c r="AQ612" s="77">
        <f t="shared" si="19"/>
        <v>0</v>
      </c>
      <c r="AR612" s="37"/>
      <c r="AS612" s="78">
        <f t="shared" si="20"/>
        <v>0</v>
      </c>
      <c r="AT612" s="37"/>
      <c r="AU612" s="37"/>
      <c r="AV612" s="37"/>
      <c r="AW612" s="37"/>
      <c r="AX612" s="37"/>
    </row>
    <row r="613" spans="1:50" ht="20.100000000000001" customHeight="1" x14ac:dyDescent="0.25">
      <c r="A613" s="37"/>
      <c r="B613" s="58"/>
      <c r="C613" s="37"/>
      <c r="D613" s="97"/>
      <c r="E613" s="98"/>
      <c r="F613" s="101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3"/>
      <c r="T613" s="83"/>
      <c r="U613" s="85"/>
      <c r="V613" s="83"/>
      <c r="W613" s="85"/>
      <c r="X613" s="97"/>
      <c r="Y613" s="100"/>
      <c r="Z613" s="100"/>
      <c r="AA613" s="100"/>
      <c r="AB613" s="100"/>
      <c r="AC613" s="100"/>
      <c r="AD613" s="98"/>
      <c r="AE613" s="83"/>
      <c r="AF613" s="84"/>
      <c r="AG613" s="85"/>
      <c r="AH613" s="83"/>
      <c r="AI613" s="84"/>
      <c r="AJ613" s="84"/>
      <c r="AK613" s="85"/>
      <c r="AL613" s="83"/>
      <c r="AM613" s="84"/>
      <c r="AN613" s="85"/>
      <c r="AO613" s="60"/>
      <c r="AP613" s="61"/>
      <c r="AQ613" s="77">
        <f t="shared" si="19"/>
        <v>0</v>
      </c>
      <c r="AR613" s="37"/>
      <c r="AS613" s="78">
        <f t="shared" si="20"/>
        <v>0</v>
      </c>
      <c r="AT613" s="37"/>
      <c r="AU613" s="37"/>
      <c r="AV613" s="37"/>
      <c r="AW613" s="37"/>
      <c r="AX613" s="37"/>
    </row>
    <row r="614" spans="1:50" ht="20.100000000000001" customHeight="1" x14ac:dyDescent="0.25">
      <c r="A614" s="37"/>
      <c r="B614" s="58"/>
      <c r="C614" s="37"/>
      <c r="D614" s="97"/>
      <c r="E614" s="98"/>
      <c r="F614" s="101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3"/>
      <c r="T614" s="83"/>
      <c r="U614" s="85"/>
      <c r="V614" s="83"/>
      <c r="W614" s="85"/>
      <c r="X614" s="97"/>
      <c r="Y614" s="100"/>
      <c r="Z614" s="100"/>
      <c r="AA614" s="100"/>
      <c r="AB614" s="100"/>
      <c r="AC614" s="100"/>
      <c r="AD614" s="98"/>
      <c r="AE614" s="83"/>
      <c r="AF614" s="84"/>
      <c r="AG614" s="85"/>
      <c r="AH614" s="83"/>
      <c r="AI614" s="84"/>
      <c r="AJ614" s="84"/>
      <c r="AK614" s="85"/>
      <c r="AL614" s="83"/>
      <c r="AM614" s="84"/>
      <c r="AN614" s="85"/>
      <c r="AO614" s="60"/>
      <c r="AP614" s="61"/>
      <c r="AQ614" s="77">
        <f t="shared" si="19"/>
        <v>0</v>
      </c>
      <c r="AR614" s="37"/>
      <c r="AS614" s="78">
        <f t="shared" si="20"/>
        <v>0</v>
      </c>
      <c r="AT614" s="37"/>
      <c r="AU614" s="37"/>
      <c r="AV614" s="37"/>
      <c r="AW614" s="37"/>
      <c r="AX614" s="37"/>
    </row>
    <row r="615" spans="1:50" ht="20.100000000000001" customHeight="1" x14ac:dyDescent="0.25">
      <c r="A615" s="37"/>
      <c r="B615" s="58"/>
      <c r="C615" s="37"/>
      <c r="D615" s="97"/>
      <c r="E615" s="98"/>
      <c r="F615" s="101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3"/>
      <c r="T615" s="83"/>
      <c r="U615" s="85"/>
      <c r="V615" s="83"/>
      <c r="W615" s="85"/>
      <c r="X615" s="97"/>
      <c r="Y615" s="100"/>
      <c r="Z615" s="100"/>
      <c r="AA615" s="100"/>
      <c r="AB615" s="100"/>
      <c r="AC615" s="100"/>
      <c r="AD615" s="98"/>
      <c r="AE615" s="83"/>
      <c r="AF615" s="84"/>
      <c r="AG615" s="85"/>
      <c r="AH615" s="83"/>
      <c r="AI615" s="84"/>
      <c r="AJ615" s="84"/>
      <c r="AK615" s="85"/>
      <c r="AL615" s="83"/>
      <c r="AM615" s="84"/>
      <c r="AN615" s="85"/>
      <c r="AO615" s="60"/>
      <c r="AP615" s="61"/>
      <c r="AQ615" s="77">
        <f t="shared" si="19"/>
        <v>0</v>
      </c>
      <c r="AR615" s="37"/>
      <c r="AS615" s="78">
        <f t="shared" si="20"/>
        <v>0</v>
      </c>
      <c r="AT615" s="37"/>
      <c r="AU615" s="37"/>
      <c r="AV615" s="37"/>
      <c r="AW615" s="37"/>
      <c r="AX615" s="37"/>
    </row>
    <row r="616" spans="1:50" ht="20.100000000000001" customHeight="1" x14ac:dyDescent="0.25">
      <c r="A616" s="37"/>
      <c r="B616" s="58"/>
      <c r="C616" s="37"/>
      <c r="D616" s="97"/>
      <c r="E616" s="98"/>
      <c r="F616" s="101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3"/>
      <c r="T616" s="83"/>
      <c r="U616" s="85"/>
      <c r="V616" s="83"/>
      <c r="W616" s="85"/>
      <c r="X616" s="97"/>
      <c r="Y616" s="100"/>
      <c r="Z616" s="100"/>
      <c r="AA616" s="100"/>
      <c r="AB616" s="100"/>
      <c r="AC616" s="100"/>
      <c r="AD616" s="98"/>
      <c r="AE616" s="83"/>
      <c r="AF616" s="84"/>
      <c r="AG616" s="85"/>
      <c r="AH616" s="83"/>
      <c r="AI616" s="84"/>
      <c r="AJ616" s="84"/>
      <c r="AK616" s="85"/>
      <c r="AL616" s="83"/>
      <c r="AM616" s="84"/>
      <c r="AN616" s="85"/>
      <c r="AO616" s="60"/>
      <c r="AP616" s="61"/>
      <c r="AQ616" s="77">
        <f t="shared" si="19"/>
        <v>0</v>
      </c>
      <c r="AR616" s="37"/>
      <c r="AS616" s="78">
        <f t="shared" si="20"/>
        <v>0</v>
      </c>
      <c r="AT616" s="37"/>
      <c r="AU616" s="37"/>
      <c r="AV616" s="37"/>
      <c r="AW616" s="37"/>
      <c r="AX616" s="37"/>
    </row>
    <row r="617" spans="1:50" ht="20.100000000000001" customHeight="1" x14ac:dyDescent="0.25">
      <c r="A617" s="37"/>
      <c r="B617" s="58"/>
      <c r="C617" s="37"/>
      <c r="D617" s="97"/>
      <c r="E617" s="98"/>
      <c r="F617" s="101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3"/>
      <c r="T617" s="83"/>
      <c r="U617" s="85"/>
      <c r="V617" s="83"/>
      <c r="W617" s="85"/>
      <c r="X617" s="97"/>
      <c r="Y617" s="100"/>
      <c r="Z617" s="100"/>
      <c r="AA617" s="100"/>
      <c r="AB617" s="100"/>
      <c r="AC617" s="100"/>
      <c r="AD617" s="98"/>
      <c r="AE617" s="83"/>
      <c r="AF617" s="84"/>
      <c r="AG617" s="85"/>
      <c r="AH617" s="83"/>
      <c r="AI617" s="84"/>
      <c r="AJ617" s="84"/>
      <c r="AK617" s="85"/>
      <c r="AL617" s="83"/>
      <c r="AM617" s="84"/>
      <c r="AN617" s="85"/>
      <c r="AO617" s="60"/>
      <c r="AP617" s="61"/>
      <c r="AQ617" s="77">
        <f t="shared" si="19"/>
        <v>0</v>
      </c>
      <c r="AR617" s="37"/>
      <c r="AS617" s="78">
        <f t="shared" si="20"/>
        <v>0</v>
      </c>
      <c r="AT617" s="37"/>
      <c r="AU617" s="37"/>
      <c r="AV617" s="37"/>
      <c r="AW617" s="37"/>
      <c r="AX617" s="37"/>
    </row>
    <row r="618" spans="1:50" ht="20.100000000000001" customHeight="1" x14ac:dyDescent="0.25">
      <c r="A618" s="37"/>
      <c r="B618" s="58"/>
      <c r="C618" s="37"/>
      <c r="D618" s="97"/>
      <c r="E618" s="98"/>
      <c r="F618" s="101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3"/>
      <c r="T618" s="83"/>
      <c r="U618" s="85"/>
      <c r="V618" s="83"/>
      <c r="W618" s="85"/>
      <c r="X618" s="97"/>
      <c r="Y618" s="100"/>
      <c r="Z618" s="100"/>
      <c r="AA618" s="100"/>
      <c r="AB618" s="100"/>
      <c r="AC618" s="100"/>
      <c r="AD618" s="98"/>
      <c r="AE618" s="83"/>
      <c r="AF618" s="84"/>
      <c r="AG618" s="85"/>
      <c r="AH618" s="83"/>
      <c r="AI618" s="84"/>
      <c r="AJ618" s="84"/>
      <c r="AK618" s="85"/>
      <c r="AL618" s="83"/>
      <c r="AM618" s="84"/>
      <c r="AN618" s="85"/>
      <c r="AO618" s="60"/>
      <c r="AP618" s="61"/>
      <c r="AQ618" s="77">
        <f t="shared" si="19"/>
        <v>0</v>
      </c>
      <c r="AR618" s="37"/>
      <c r="AS618" s="78">
        <f t="shared" si="20"/>
        <v>0</v>
      </c>
      <c r="AT618" s="37"/>
      <c r="AU618" s="37"/>
      <c r="AV618" s="37"/>
      <c r="AW618" s="37"/>
      <c r="AX618" s="37"/>
    </row>
    <row r="619" spans="1:50" ht="20.100000000000001" customHeight="1" x14ac:dyDescent="0.25">
      <c r="A619" s="37"/>
      <c r="B619" s="58"/>
      <c r="C619" s="37"/>
      <c r="D619" s="97"/>
      <c r="E619" s="98"/>
      <c r="F619" s="101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3"/>
      <c r="T619" s="83"/>
      <c r="U619" s="85"/>
      <c r="V619" s="83"/>
      <c r="W619" s="85"/>
      <c r="X619" s="97"/>
      <c r="Y619" s="100"/>
      <c r="Z619" s="100"/>
      <c r="AA619" s="100"/>
      <c r="AB619" s="100"/>
      <c r="AC619" s="100"/>
      <c r="AD619" s="98"/>
      <c r="AE619" s="83"/>
      <c r="AF619" s="84"/>
      <c r="AG619" s="85"/>
      <c r="AH619" s="83"/>
      <c r="AI619" s="84"/>
      <c r="AJ619" s="84"/>
      <c r="AK619" s="85"/>
      <c r="AL619" s="83"/>
      <c r="AM619" s="84"/>
      <c r="AN619" s="85"/>
      <c r="AO619" s="60"/>
      <c r="AP619" s="61"/>
      <c r="AQ619" s="77">
        <f t="shared" si="19"/>
        <v>0</v>
      </c>
      <c r="AR619" s="37"/>
      <c r="AS619" s="78">
        <f t="shared" si="20"/>
        <v>0</v>
      </c>
      <c r="AT619" s="37"/>
      <c r="AU619" s="37"/>
      <c r="AV619" s="37"/>
      <c r="AW619" s="37"/>
      <c r="AX619" s="37"/>
    </row>
    <row r="620" spans="1:50" ht="20.100000000000001" customHeight="1" x14ac:dyDescent="0.25">
      <c r="A620" s="37"/>
      <c r="B620" s="58"/>
      <c r="C620" s="37"/>
      <c r="D620" s="97"/>
      <c r="E620" s="98"/>
      <c r="F620" s="101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3"/>
      <c r="T620" s="83"/>
      <c r="U620" s="85"/>
      <c r="V620" s="83"/>
      <c r="W620" s="85"/>
      <c r="X620" s="97"/>
      <c r="Y620" s="100"/>
      <c r="Z620" s="100"/>
      <c r="AA620" s="100"/>
      <c r="AB620" s="100"/>
      <c r="AC620" s="100"/>
      <c r="AD620" s="98"/>
      <c r="AE620" s="83"/>
      <c r="AF620" s="84"/>
      <c r="AG620" s="85"/>
      <c r="AH620" s="83"/>
      <c r="AI620" s="84"/>
      <c r="AJ620" s="84"/>
      <c r="AK620" s="85"/>
      <c r="AL620" s="83"/>
      <c r="AM620" s="84"/>
      <c r="AN620" s="85"/>
      <c r="AO620" s="60"/>
      <c r="AP620" s="61"/>
      <c r="AQ620" s="77">
        <f t="shared" si="19"/>
        <v>0</v>
      </c>
      <c r="AR620" s="37"/>
      <c r="AS620" s="78">
        <f t="shared" si="20"/>
        <v>0</v>
      </c>
      <c r="AT620" s="37"/>
      <c r="AU620" s="37"/>
      <c r="AV620" s="37"/>
      <c r="AW620" s="37"/>
      <c r="AX620" s="37"/>
    </row>
    <row r="621" spans="1:50" ht="20.100000000000001" customHeight="1" x14ac:dyDescent="0.25">
      <c r="A621" s="37"/>
      <c r="B621" s="58"/>
      <c r="C621" s="37"/>
      <c r="D621" s="97"/>
      <c r="E621" s="98"/>
      <c r="F621" s="101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3"/>
      <c r="T621" s="83"/>
      <c r="U621" s="85"/>
      <c r="V621" s="83"/>
      <c r="W621" s="85"/>
      <c r="X621" s="97"/>
      <c r="Y621" s="100"/>
      <c r="Z621" s="100"/>
      <c r="AA621" s="100"/>
      <c r="AB621" s="100"/>
      <c r="AC621" s="100"/>
      <c r="AD621" s="98"/>
      <c r="AE621" s="83"/>
      <c r="AF621" s="84"/>
      <c r="AG621" s="85"/>
      <c r="AH621" s="83"/>
      <c r="AI621" s="84"/>
      <c r="AJ621" s="84"/>
      <c r="AK621" s="85"/>
      <c r="AL621" s="83"/>
      <c r="AM621" s="84"/>
      <c r="AN621" s="85"/>
      <c r="AO621" s="60"/>
      <c r="AP621" s="61"/>
      <c r="AQ621" s="77">
        <f t="shared" si="19"/>
        <v>0</v>
      </c>
      <c r="AR621" s="37"/>
      <c r="AS621" s="78">
        <f t="shared" si="20"/>
        <v>0</v>
      </c>
      <c r="AT621" s="37"/>
      <c r="AU621" s="37"/>
      <c r="AV621" s="37"/>
      <c r="AW621" s="37"/>
      <c r="AX621" s="37"/>
    </row>
    <row r="622" spans="1:50" ht="20.100000000000001" customHeight="1" x14ac:dyDescent="0.25">
      <c r="A622" s="37"/>
      <c r="B622" s="58"/>
      <c r="C622" s="37"/>
      <c r="D622" s="97"/>
      <c r="E622" s="98"/>
      <c r="F622" s="101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3"/>
      <c r="T622" s="83"/>
      <c r="U622" s="85"/>
      <c r="V622" s="83"/>
      <c r="W622" s="85"/>
      <c r="X622" s="97"/>
      <c r="Y622" s="100"/>
      <c r="Z622" s="100"/>
      <c r="AA622" s="100"/>
      <c r="AB622" s="100"/>
      <c r="AC622" s="100"/>
      <c r="AD622" s="98"/>
      <c r="AE622" s="83"/>
      <c r="AF622" s="84"/>
      <c r="AG622" s="85"/>
      <c r="AH622" s="83"/>
      <c r="AI622" s="84"/>
      <c r="AJ622" s="84"/>
      <c r="AK622" s="85"/>
      <c r="AL622" s="83"/>
      <c r="AM622" s="84"/>
      <c r="AN622" s="85"/>
      <c r="AO622" s="60"/>
      <c r="AP622" s="61"/>
      <c r="AQ622" s="77">
        <f t="shared" si="19"/>
        <v>0</v>
      </c>
      <c r="AR622" s="37"/>
      <c r="AS622" s="78">
        <f t="shared" si="20"/>
        <v>0</v>
      </c>
      <c r="AT622" s="37"/>
      <c r="AU622" s="37"/>
      <c r="AV622" s="37"/>
      <c r="AW622" s="37"/>
      <c r="AX622" s="37"/>
    </row>
    <row r="623" spans="1:50" ht="20.100000000000001" customHeight="1" x14ac:dyDescent="0.25">
      <c r="A623" s="37"/>
      <c r="B623" s="58"/>
      <c r="C623" s="37"/>
      <c r="D623" s="97"/>
      <c r="E623" s="98"/>
      <c r="F623" s="101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3"/>
      <c r="T623" s="83"/>
      <c r="U623" s="85"/>
      <c r="V623" s="83"/>
      <c r="W623" s="85"/>
      <c r="X623" s="97"/>
      <c r="Y623" s="100"/>
      <c r="Z623" s="100"/>
      <c r="AA623" s="100"/>
      <c r="AB623" s="100"/>
      <c r="AC623" s="100"/>
      <c r="AD623" s="98"/>
      <c r="AE623" s="83"/>
      <c r="AF623" s="84"/>
      <c r="AG623" s="85"/>
      <c r="AH623" s="83"/>
      <c r="AI623" s="84"/>
      <c r="AJ623" s="84"/>
      <c r="AK623" s="85"/>
      <c r="AL623" s="83"/>
      <c r="AM623" s="84"/>
      <c r="AN623" s="85"/>
      <c r="AO623" s="60"/>
      <c r="AP623" s="61"/>
      <c r="AQ623" s="77">
        <f t="shared" si="19"/>
        <v>0</v>
      </c>
      <c r="AR623" s="37"/>
      <c r="AS623" s="78">
        <f t="shared" si="20"/>
        <v>0</v>
      </c>
      <c r="AT623" s="37"/>
      <c r="AU623" s="37"/>
      <c r="AV623" s="37"/>
      <c r="AW623" s="37"/>
      <c r="AX623" s="37"/>
    </row>
    <row r="624" spans="1:50" ht="20.100000000000001" customHeight="1" x14ac:dyDescent="0.25">
      <c r="A624" s="37"/>
      <c r="B624" s="58"/>
      <c r="C624" s="37"/>
      <c r="D624" s="97"/>
      <c r="E624" s="98"/>
      <c r="F624" s="101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3"/>
      <c r="T624" s="83"/>
      <c r="U624" s="85"/>
      <c r="V624" s="83"/>
      <c r="W624" s="85"/>
      <c r="X624" s="97"/>
      <c r="Y624" s="100"/>
      <c r="Z624" s="100"/>
      <c r="AA624" s="100"/>
      <c r="AB624" s="100"/>
      <c r="AC624" s="100"/>
      <c r="AD624" s="98"/>
      <c r="AE624" s="83"/>
      <c r="AF624" s="84"/>
      <c r="AG624" s="85"/>
      <c r="AH624" s="83"/>
      <c r="AI624" s="84"/>
      <c r="AJ624" s="84"/>
      <c r="AK624" s="85"/>
      <c r="AL624" s="83"/>
      <c r="AM624" s="84"/>
      <c r="AN624" s="85"/>
      <c r="AO624" s="60"/>
      <c r="AP624" s="61"/>
      <c r="AQ624" s="77">
        <f t="shared" si="19"/>
        <v>0</v>
      </c>
      <c r="AR624" s="37"/>
      <c r="AS624" s="78">
        <f t="shared" si="20"/>
        <v>0</v>
      </c>
      <c r="AT624" s="37"/>
      <c r="AU624" s="37"/>
      <c r="AV624" s="37"/>
      <c r="AW624" s="37"/>
      <c r="AX624" s="37"/>
    </row>
    <row r="625" spans="1:50" ht="20.100000000000001" customHeight="1" x14ac:dyDescent="0.25">
      <c r="A625" s="37"/>
      <c r="B625" s="58"/>
      <c r="C625" s="37"/>
      <c r="D625" s="97"/>
      <c r="E625" s="98"/>
      <c r="F625" s="101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3"/>
      <c r="T625" s="83"/>
      <c r="U625" s="85"/>
      <c r="V625" s="83"/>
      <c r="W625" s="85"/>
      <c r="X625" s="97"/>
      <c r="Y625" s="100"/>
      <c r="Z625" s="100"/>
      <c r="AA625" s="100"/>
      <c r="AB625" s="100"/>
      <c r="AC625" s="100"/>
      <c r="AD625" s="98"/>
      <c r="AE625" s="83"/>
      <c r="AF625" s="84"/>
      <c r="AG625" s="85"/>
      <c r="AH625" s="83"/>
      <c r="AI625" s="84"/>
      <c r="AJ625" s="84"/>
      <c r="AK625" s="85"/>
      <c r="AL625" s="83"/>
      <c r="AM625" s="84"/>
      <c r="AN625" s="85"/>
      <c r="AO625" s="60"/>
      <c r="AP625" s="61"/>
      <c r="AQ625" s="77">
        <f t="shared" si="19"/>
        <v>0</v>
      </c>
      <c r="AR625" s="37"/>
      <c r="AS625" s="78">
        <f t="shared" si="20"/>
        <v>0</v>
      </c>
      <c r="AT625" s="37"/>
      <c r="AU625" s="37"/>
      <c r="AV625" s="37"/>
      <c r="AW625" s="37"/>
      <c r="AX625" s="37"/>
    </row>
    <row r="626" spans="1:50" ht="20.100000000000001" customHeight="1" x14ac:dyDescent="0.25">
      <c r="A626" s="37"/>
      <c r="B626" s="58"/>
      <c r="C626" s="37"/>
      <c r="D626" s="97"/>
      <c r="E626" s="98"/>
      <c r="F626" s="101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3"/>
      <c r="T626" s="83"/>
      <c r="U626" s="85"/>
      <c r="V626" s="83"/>
      <c r="W626" s="85"/>
      <c r="X626" s="97"/>
      <c r="Y626" s="100"/>
      <c r="Z626" s="100"/>
      <c r="AA626" s="100"/>
      <c r="AB626" s="100"/>
      <c r="AC626" s="100"/>
      <c r="AD626" s="98"/>
      <c r="AE626" s="83"/>
      <c r="AF626" s="84"/>
      <c r="AG626" s="85"/>
      <c r="AH626" s="83"/>
      <c r="AI626" s="84"/>
      <c r="AJ626" s="84"/>
      <c r="AK626" s="85"/>
      <c r="AL626" s="83"/>
      <c r="AM626" s="84"/>
      <c r="AN626" s="85"/>
      <c r="AO626" s="60"/>
      <c r="AP626" s="61"/>
      <c r="AQ626" s="77">
        <f t="shared" si="19"/>
        <v>0</v>
      </c>
      <c r="AR626" s="37"/>
      <c r="AS626" s="78">
        <f t="shared" si="20"/>
        <v>0</v>
      </c>
      <c r="AT626" s="37"/>
      <c r="AU626" s="37"/>
      <c r="AV626" s="37"/>
      <c r="AW626" s="37"/>
      <c r="AX626" s="37"/>
    </row>
    <row r="627" spans="1:50" ht="20.100000000000001" customHeight="1" x14ac:dyDescent="0.25">
      <c r="A627" s="37"/>
      <c r="B627" s="58"/>
      <c r="C627" s="37"/>
      <c r="D627" s="97"/>
      <c r="E627" s="98"/>
      <c r="F627" s="101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3"/>
      <c r="T627" s="83"/>
      <c r="U627" s="85"/>
      <c r="V627" s="83"/>
      <c r="W627" s="85"/>
      <c r="X627" s="97"/>
      <c r="Y627" s="100"/>
      <c r="Z627" s="100"/>
      <c r="AA627" s="100"/>
      <c r="AB627" s="100"/>
      <c r="AC627" s="100"/>
      <c r="AD627" s="98"/>
      <c r="AE627" s="83"/>
      <c r="AF627" s="84"/>
      <c r="AG627" s="85"/>
      <c r="AH627" s="83"/>
      <c r="AI627" s="84"/>
      <c r="AJ627" s="84"/>
      <c r="AK627" s="85"/>
      <c r="AL627" s="83"/>
      <c r="AM627" s="84"/>
      <c r="AN627" s="85"/>
      <c r="AO627" s="60"/>
      <c r="AP627" s="61"/>
      <c r="AQ627" s="77">
        <f t="shared" si="19"/>
        <v>0</v>
      </c>
      <c r="AR627" s="37"/>
      <c r="AS627" s="78">
        <f t="shared" si="20"/>
        <v>0</v>
      </c>
      <c r="AT627" s="37"/>
      <c r="AU627" s="37"/>
      <c r="AV627" s="37"/>
      <c r="AW627" s="37"/>
      <c r="AX627" s="37"/>
    </row>
    <row r="628" spans="1:50" ht="20.100000000000001" customHeight="1" x14ac:dyDescent="0.25">
      <c r="A628" s="37"/>
      <c r="B628" s="58"/>
      <c r="C628" s="37"/>
      <c r="D628" s="97"/>
      <c r="E628" s="98"/>
      <c r="F628" s="101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3"/>
      <c r="T628" s="83"/>
      <c r="U628" s="85"/>
      <c r="V628" s="83"/>
      <c r="W628" s="85"/>
      <c r="X628" s="97"/>
      <c r="Y628" s="100"/>
      <c r="Z628" s="100"/>
      <c r="AA628" s="100"/>
      <c r="AB628" s="100"/>
      <c r="AC628" s="100"/>
      <c r="AD628" s="98"/>
      <c r="AE628" s="83"/>
      <c r="AF628" s="84"/>
      <c r="AG628" s="85"/>
      <c r="AH628" s="83"/>
      <c r="AI628" s="84"/>
      <c r="AJ628" s="84"/>
      <c r="AK628" s="85"/>
      <c r="AL628" s="83"/>
      <c r="AM628" s="84"/>
      <c r="AN628" s="85"/>
      <c r="AO628" s="60"/>
      <c r="AP628" s="61"/>
      <c r="AQ628" s="77">
        <f t="shared" si="19"/>
        <v>0</v>
      </c>
      <c r="AR628" s="37"/>
      <c r="AS628" s="78">
        <f t="shared" si="20"/>
        <v>0</v>
      </c>
      <c r="AT628" s="37"/>
      <c r="AU628" s="37"/>
      <c r="AV628" s="37"/>
      <c r="AW628" s="37"/>
      <c r="AX628" s="37"/>
    </row>
    <row r="629" spans="1:50" ht="20.100000000000001" customHeight="1" x14ac:dyDescent="0.25">
      <c r="A629" s="37"/>
      <c r="B629" s="58"/>
      <c r="C629" s="37"/>
      <c r="D629" s="97"/>
      <c r="E629" s="98"/>
      <c r="F629" s="101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3"/>
      <c r="T629" s="83"/>
      <c r="U629" s="85"/>
      <c r="V629" s="83"/>
      <c r="W629" s="85"/>
      <c r="X629" s="97"/>
      <c r="Y629" s="100"/>
      <c r="Z629" s="100"/>
      <c r="AA629" s="100"/>
      <c r="AB629" s="100"/>
      <c r="AC629" s="100"/>
      <c r="AD629" s="98"/>
      <c r="AE629" s="83"/>
      <c r="AF629" s="84"/>
      <c r="AG629" s="85"/>
      <c r="AH629" s="83"/>
      <c r="AI629" s="84"/>
      <c r="AJ629" s="84"/>
      <c r="AK629" s="85"/>
      <c r="AL629" s="83"/>
      <c r="AM629" s="84"/>
      <c r="AN629" s="85"/>
      <c r="AO629" s="60"/>
      <c r="AP629" s="61"/>
      <c r="AQ629" s="77">
        <f t="shared" si="19"/>
        <v>0</v>
      </c>
      <c r="AR629" s="37"/>
      <c r="AS629" s="78">
        <f t="shared" si="20"/>
        <v>0</v>
      </c>
      <c r="AT629" s="37"/>
      <c r="AU629" s="37"/>
      <c r="AV629" s="37"/>
      <c r="AW629" s="37"/>
      <c r="AX629" s="37"/>
    </row>
    <row r="630" spans="1:50" ht="20.100000000000001" customHeight="1" x14ac:dyDescent="0.25">
      <c r="A630" s="37"/>
      <c r="B630" s="58"/>
      <c r="C630" s="37"/>
      <c r="D630" s="97"/>
      <c r="E630" s="98"/>
      <c r="F630" s="101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3"/>
      <c r="T630" s="83"/>
      <c r="U630" s="85"/>
      <c r="V630" s="83"/>
      <c r="W630" s="85"/>
      <c r="X630" s="97"/>
      <c r="Y630" s="100"/>
      <c r="Z630" s="100"/>
      <c r="AA630" s="100"/>
      <c r="AB630" s="100"/>
      <c r="AC630" s="100"/>
      <c r="AD630" s="98"/>
      <c r="AE630" s="83"/>
      <c r="AF630" s="84"/>
      <c r="AG630" s="85"/>
      <c r="AH630" s="83"/>
      <c r="AI630" s="84"/>
      <c r="AJ630" s="84"/>
      <c r="AK630" s="85"/>
      <c r="AL630" s="83"/>
      <c r="AM630" s="84"/>
      <c r="AN630" s="85"/>
      <c r="AO630" s="60"/>
      <c r="AP630" s="61"/>
      <c r="AQ630" s="77">
        <f t="shared" si="19"/>
        <v>0</v>
      </c>
      <c r="AR630" s="37"/>
      <c r="AS630" s="78">
        <f t="shared" si="20"/>
        <v>0</v>
      </c>
      <c r="AT630" s="37"/>
      <c r="AU630" s="37"/>
      <c r="AV630" s="37"/>
      <c r="AW630" s="37"/>
      <c r="AX630" s="37"/>
    </row>
    <row r="631" spans="1:50" ht="20.100000000000001" customHeight="1" x14ac:dyDescent="0.25">
      <c r="A631" s="37"/>
      <c r="B631" s="58"/>
      <c r="C631" s="37"/>
      <c r="D631" s="97"/>
      <c r="E631" s="98"/>
      <c r="F631" s="101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3"/>
      <c r="T631" s="83"/>
      <c r="U631" s="85"/>
      <c r="V631" s="83"/>
      <c r="W631" s="85"/>
      <c r="X631" s="97"/>
      <c r="Y631" s="100"/>
      <c r="Z631" s="100"/>
      <c r="AA631" s="100"/>
      <c r="AB631" s="100"/>
      <c r="AC631" s="100"/>
      <c r="AD631" s="98"/>
      <c r="AE631" s="83"/>
      <c r="AF631" s="84"/>
      <c r="AG631" s="85"/>
      <c r="AH631" s="83"/>
      <c r="AI631" s="84"/>
      <c r="AJ631" s="84"/>
      <c r="AK631" s="85"/>
      <c r="AL631" s="83"/>
      <c r="AM631" s="84"/>
      <c r="AN631" s="85"/>
      <c r="AO631" s="60"/>
      <c r="AP631" s="61"/>
      <c r="AQ631" s="77">
        <f t="shared" si="19"/>
        <v>0</v>
      </c>
      <c r="AR631" s="37"/>
      <c r="AS631" s="78">
        <f t="shared" si="20"/>
        <v>0</v>
      </c>
      <c r="AT631" s="37"/>
      <c r="AU631" s="37"/>
      <c r="AV631" s="37"/>
      <c r="AW631" s="37"/>
      <c r="AX631" s="37"/>
    </row>
    <row r="632" spans="1:50" ht="20.100000000000001" customHeight="1" x14ac:dyDescent="0.25">
      <c r="A632" s="37"/>
      <c r="B632" s="58"/>
      <c r="C632" s="37"/>
      <c r="D632" s="97"/>
      <c r="E632" s="98"/>
      <c r="F632" s="101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3"/>
      <c r="T632" s="83"/>
      <c r="U632" s="85"/>
      <c r="V632" s="83"/>
      <c r="W632" s="85"/>
      <c r="X632" s="97"/>
      <c r="Y632" s="100"/>
      <c r="Z632" s="100"/>
      <c r="AA632" s="100"/>
      <c r="AB632" s="100"/>
      <c r="AC632" s="100"/>
      <c r="AD632" s="98"/>
      <c r="AE632" s="83"/>
      <c r="AF632" s="84"/>
      <c r="AG632" s="85"/>
      <c r="AH632" s="83"/>
      <c r="AI632" s="84"/>
      <c r="AJ632" s="84"/>
      <c r="AK632" s="85"/>
      <c r="AL632" s="83"/>
      <c r="AM632" s="84"/>
      <c r="AN632" s="85"/>
      <c r="AO632" s="60"/>
      <c r="AP632" s="61"/>
      <c r="AQ632" s="77">
        <f t="shared" si="19"/>
        <v>0</v>
      </c>
      <c r="AR632" s="37"/>
      <c r="AS632" s="78">
        <f t="shared" si="20"/>
        <v>0</v>
      </c>
      <c r="AT632" s="37"/>
      <c r="AU632" s="37"/>
      <c r="AV632" s="37"/>
      <c r="AW632" s="37"/>
      <c r="AX632" s="37"/>
    </row>
    <row r="633" spans="1:50" ht="20.100000000000001" customHeight="1" x14ac:dyDescent="0.25">
      <c r="A633" s="37"/>
      <c r="B633" s="58"/>
      <c r="C633" s="37"/>
      <c r="D633" s="97"/>
      <c r="E633" s="98"/>
      <c r="F633" s="101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3"/>
      <c r="T633" s="83"/>
      <c r="U633" s="85"/>
      <c r="V633" s="83"/>
      <c r="W633" s="85"/>
      <c r="X633" s="97"/>
      <c r="Y633" s="100"/>
      <c r="Z633" s="100"/>
      <c r="AA633" s="100"/>
      <c r="AB633" s="100"/>
      <c r="AC633" s="100"/>
      <c r="AD633" s="98"/>
      <c r="AE633" s="83"/>
      <c r="AF633" s="84"/>
      <c r="AG633" s="85"/>
      <c r="AH633" s="83"/>
      <c r="AI633" s="84"/>
      <c r="AJ633" s="84"/>
      <c r="AK633" s="85"/>
      <c r="AL633" s="83"/>
      <c r="AM633" s="84"/>
      <c r="AN633" s="85"/>
      <c r="AO633" s="60"/>
      <c r="AP633" s="61"/>
      <c r="AQ633" s="77">
        <f t="shared" si="19"/>
        <v>0</v>
      </c>
      <c r="AR633" s="37"/>
      <c r="AS633" s="78">
        <f t="shared" si="20"/>
        <v>0</v>
      </c>
      <c r="AT633" s="37"/>
      <c r="AU633" s="37"/>
      <c r="AV633" s="37"/>
      <c r="AW633" s="37"/>
      <c r="AX633" s="37"/>
    </row>
    <row r="634" spans="1:50" ht="20.100000000000001" customHeight="1" x14ac:dyDescent="0.25">
      <c r="A634" s="37"/>
      <c r="B634" s="58"/>
      <c r="C634" s="37"/>
      <c r="D634" s="97"/>
      <c r="E634" s="98"/>
      <c r="F634" s="101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3"/>
      <c r="T634" s="83"/>
      <c r="U634" s="85"/>
      <c r="V634" s="83"/>
      <c r="W634" s="85"/>
      <c r="X634" s="97"/>
      <c r="Y634" s="100"/>
      <c r="Z634" s="100"/>
      <c r="AA634" s="100"/>
      <c r="AB634" s="100"/>
      <c r="AC634" s="100"/>
      <c r="AD634" s="98"/>
      <c r="AE634" s="83"/>
      <c r="AF634" s="84"/>
      <c r="AG634" s="85"/>
      <c r="AH634" s="83"/>
      <c r="AI634" s="84"/>
      <c r="AJ634" s="84"/>
      <c r="AK634" s="85"/>
      <c r="AL634" s="83"/>
      <c r="AM634" s="84"/>
      <c r="AN634" s="85"/>
      <c r="AO634" s="60"/>
      <c r="AP634" s="61"/>
      <c r="AQ634" s="77">
        <f t="shared" si="19"/>
        <v>0</v>
      </c>
      <c r="AR634" s="37"/>
      <c r="AS634" s="78">
        <f t="shared" si="20"/>
        <v>0</v>
      </c>
      <c r="AT634" s="37"/>
      <c r="AU634" s="37"/>
      <c r="AV634" s="37"/>
      <c r="AW634" s="37"/>
      <c r="AX634" s="37"/>
    </row>
    <row r="635" spans="1:50" ht="20.100000000000001" customHeight="1" x14ac:dyDescent="0.25">
      <c r="A635" s="37"/>
      <c r="B635" s="58"/>
      <c r="C635" s="37"/>
      <c r="D635" s="97"/>
      <c r="E635" s="98"/>
      <c r="F635" s="101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3"/>
      <c r="T635" s="83"/>
      <c r="U635" s="85"/>
      <c r="V635" s="83"/>
      <c r="W635" s="85"/>
      <c r="X635" s="97"/>
      <c r="Y635" s="100"/>
      <c r="Z635" s="100"/>
      <c r="AA635" s="100"/>
      <c r="AB635" s="100"/>
      <c r="AC635" s="100"/>
      <c r="AD635" s="98"/>
      <c r="AE635" s="83"/>
      <c r="AF635" s="84"/>
      <c r="AG635" s="85"/>
      <c r="AH635" s="83"/>
      <c r="AI635" s="84"/>
      <c r="AJ635" s="84"/>
      <c r="AK635" s="85"/>
      <c r="AL635" s="83"/>
      <c r="AM635" s="84"/>
      <c r="AN635" s="85"/>
      <c r="AO635" s="60"/>
      <c r="AP635" s="61"/>
      <c r="AQ635" s="77">
        <f t="shared" si="19"/>
        <v>0</v>
      </c>
      <c r="AR635" s="37"/>
      <c r="AS635" s="78">
        <f t="shared" si="20"/>
        <v>0</v>
      </c>
      <c r="AT635" s="37"/>
      <c r="AU635" s="37"/>
      <c r="AV635" s="37"/>
      <c r="AW635" s="37"/>
      <c r="AX635" s="37"/>
    </row>
    <row r="636" spans="1:50" ht="20.100000000000001" customHeight="1" x14ac:dyDescent="0.25">
      <c r="A636" s="37"/>
      <c r="B636" s="58"/>
      <c r="C636" s="37"/>
      <c r="D636" s="97"/>
      <c r="E636" s="98"/>
      <c r="F636" s="101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3"/>
      <c r="T636" s="83"/>
      <c r="U636" s="85"/>
      <c r="V636" s="83"/>
      <c r="W636" s="85"/>
      <c r="X636" s="97"/>
      <c r="Y636" s="100"/>
      <c r="Z636" s="100"/>
      <c r="AA636" s="100"/>
      <c r="AB636" s="100"/>
      <c r="AC636" s="100"/>
      <c r="AD636" s="98"/>
      <c r="AE636" s="83"/>
      <c r="AF636" s="84"/>
      <c r="AG636" s="85"/>
      <c r="AH636" s="83"/>
      <c r="AI636" s="84"/>
      <c r="AJ636" s="84"/>
      <c r="AK636" s="85"/>
      <c r="AL636" s="83"/>
      <c r="AM636" s="84"/>
      <c r="AN636" s="85"/>
      <c r="AO636" s="60"/>
      <c r="AP636" s="61"/>
      <c r="AQ636" s="77">
        <f t="shared" si="19"/>
        <v>0</v>
      </c>
      <c r="AR636" s="37"/>
      <c r="AS636" s="78">
        <f t="shared" si="20"/>
        <v>0</v>
      </c>
      <c r="AT636" s="37"/>
      <c r="AU636" s="37"/>
      <c r="AV636" s="37"/>
      <c r="AW636" s="37"/>
      <c r="AX636" s="37"/>
    </row>
    <row r="637" spans="1:50" ht="20.100000000000001" customHeight="1" x14ac:dyDescent="0.25">
      <c r="A637" s="37"/>
      <c r="B637" s="58"/>
      <c r="C637" s="37"/>
      <c r="D637" s="97"/>
      <c r="E637" s="98"/>
      <c r="F637" s="101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3"/>
      <c r="T637" s="83"/>
      <c r="U637" s="85"/>
      <c r="V637" s="83"/>
      <c r="W637" s="85"/>
      <c r="X637" s="97"/>
      <c r="Y637" s="100"/>
      <c r="Z637" s="100"/>
      <c r="AA637" s="100"/>
      <c r="AB637" s="100"/>
      <c r="AC637" s="100"/>
      <c r="AD637" s="98"/>
      <c r="AE637" s="83"/>
      <c r="AF637" s="84"/>
      <c r="AG637" s="85"/>
      <c r="AH637" s="83"/>
      <c r="AI637" s="84"/>
      <c r="AJ637" s="84"/>
      <c r="AK637" s="85"/>
      <c r="AL637" s="83"/>
      <c r="AM637" s="84"/>
      <c r="AN637" s="85"/>
      <c r="AO637" s="60"/>
      <c r="AP637" s="61"/>
      <c r="AQ637" s="77">
        <f t="shared" si="19"/>
        <v>0</v>
      </c>
      <c r="AR637" s="37"/>
      <c r="AS637" s="78">
        <f t="shared" si="20"/>
        <v>0</v>
      </c>
      <c r="AT637" s="37"/>
      <c r="AU637" s="37"/>
      <c r="AV637" s="37"/>
      <c r="AW637" s="37"/>
      <c r="AX637" s="37"/>
    </row>
    <row r="638" spans="1:50" ht="20.100000000000001" customHeight="1" x14ac:dyDescent="0.25">
      <c r="A638" s="37"/>
      <c r="B638" s="58"/>
      <c r="C638" s="37"/>
      <c r="D638" s="97"/>
      <c r="E638" s="98"/>
      <c r="F638" s="101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3"/>
      <c r="T638" s="83"/>
      <c r="U638" s="85"/>
      <c r="V638" s="83"/>
      <c r="W638" s="85"/>
      <c r="X638" s="97"/>
      <c r="Y638" s="100"/>
      <c r="Z638" s="100"/>
      <c r="AA638" s="100"/>
      <c r="AB638" s="100"/>
      <c r="AC638" s="100"/>
      <c r="AD638" s="98"/>
      <c r="AE638" s="83"/>
      <c r="AF638" s="84"/>
      <c r="AG638" s="85"/>
      <c r="AH638" s="83"/>
      <c r="AI638" s="84"/>
      <c r="AJ638" s="84"/>
      <c r="AK638" s="85"/>
      <c r="AL638" s="83"/>
      <c r="AM638" s="84"/>
      <c r="AN638" s="85"/>
      <c r="AO638" s="60"/>
      <c r="AP638" s="61"/>
      <c r="AQ638" s="77">
        <f t="shared" si="19"/>
        <v>0</v>
      </c>
      <c r="AR638" s="37"/>
      <c r="AS638" s="78">
        <f t="shared" si="20"/>
        <v>0</v>
      </c>
      <c r="AT638" s="37"/>
      <c r="AU638" s="37"/>
      <c r="AV638" s="37"/>
      <c r="AW638" s="37"/>
      <c r="AX638" s="37"/>
    </row>
    <row r="639" spans="1:50" ht="20.100000000000001" customHeight="1" x14ac:dyDescent="0.25">
      <c r="A639" s="37"/>
      <c r="B639" s="58"/>
      <c r="C639" s="37"/>
      <c r="D639" s="97"/>
      <c r="E639" s="98"/>
      <c r="F639" s="101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3"/>
      <c r="T639" s="83"/>
      <c r="U639" s="85"/>
      <c r="V639" s="83"/>
      <c r="W639" s="85"/>
      <c r="X639" s="97"/>
      <c r="Y639" s="100"/>
      <c r="Z639" s="100"/>
      <c r="AA639" s="100"/>
      <c r="AB639" s="100"/>
      <c r="AC639" s="100"/>
      <c r="AD639" s="98"/>
      <c r="AE639" s="83"/>
      <c r="AF639" s="84"/>
      <c r="AG639" s="85"/>
      <c r="AH639" s="83"/>
      <c r="AI639" s="84"/>
      <c r="AJ639" s="84"/>
      <c r="AK639" s="85"/>
      <c r="AL639" s="83"/>
      <c r="AM639" s="84"/>
      <c r="AN639" s="85"/>
      <c r="AO639" s="60"/>
      <c r="AP639" s="61"/>
      <c r="AQ639" s="77">
        <f t="shared" si="19"/>
        <v>0</v>
      </c>
      <c r="AR639" s="37"/>
      <c r="AS639" s="78">
        <f t="shared" si="20"/>
        <v>0</v>
      </c>
      <c r="AT639" s="37"/>
      <c r="AU639" s="37"/>
      <c r="AV639" s="37"/>
      <c r="AW639" s="37"/>
      <c r="AX639" s="37"/>
    </row>
    <row r="640" spans="1:50" ht="20.100000000000001" customHeight="1" x14ac:dyDescent="0.25">
      <c r="A640" s="37"/>
      <c r="B640" s="58"/>
      <c r="C640" s="37"/>
      <c r="D640" s="97"/>
      <c r="E640" s="98"/>
      <c r="F640" s="101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3"/>
      <c r="T640" s="83"/>
      <c r="U640" s="85"/>
      <c r="V640" s="83"/>
      <c r="W640" s="85"/>
      <c r="X640" s="97"/>
      <c r="Y640" s="100"/>
      <c r="Z640" s="100"/>
      <c r="AA640" s="100"/>
      <c r="AB640" s="100"/>
      <c r="AC640" s="100"/>
      <c r="AD640" s="98"/>
      <c r="AE640" s="83"/>
      <c r="AF640" s="84"/>
      <c r="AG640" s="85"/>
      <c r="AH640" s="83"/>
      <c r="AI640" s="84"/>
      <c r="AJ640" s="84"/>
      <c r="AK640" s="85"/>
      <c r="AL640" s="83"/>
      <c r="AM640" s="84"/>
      <c r="AN640" s="85"/>
      <c r="AO640" s="60"/>
      <c r="AP640" s="61"/>
      <c r="AQ640" s="77">
        <f t="shared" si="19"/>
        <v>0</v>
      </c>
      <c r="AR640" s="37"/>
      <c r="AS640" s="78">
        <f t="shared" si="20"/>
        <v>0</v>
      </c>
      <c r="AT640" s="37"/>
      <c r="AU640" s="37"/>
      <c r="AV640" s="37"/>
      <c r="AW640" s="37"/>
      <c r="AX640" s="37"/>
    </row>
    <row r="641" spans="1:50" ht="20.100000000000001" customHeight="1" x14ac:dyDescent="0.25">
      <c r="A641" s="37"/>
      <c r="B641" s="58"/>
      <c r="C641" s="37"/>
      <c r="D641" s="97"/>
      <c r="E641" s="98"/>
      <c r="F641" s="101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3"/>
      <c r="T641" s="83"/>
      <c r="U641" s="85"/>
      <c r="V641" s="83"/>
      <c r="W641" s="85"/>
      <c r="X641" s="97"/>
      <c r="Y641" s="100"/>
      <c r="Z641" s="100"/>
      <c r="AA641" s="100"/>
      <c r="AB641" s="100"/>
      <c r="AC641" s="100"/>
      <c r="AD641" s="98"/>
      <c r="AE641" s="83"/>
      <c r="AF641" s="84"/>
      <c r="AG641" s="85"/>
      <c r="AH641" s="83"/>
      <c r="AI641" s="84"/>
      <c r="AJ641" s="84"/>
      <c r="AK641" s="85"/>
      <c r="AL641" s="83"/>
      <c r="AM641" s="84"/>
      <c r="AN641" s="85"/>
      <c r="AO641" s="60"/>
      <c r="AP641" s="61"/>
      <c r="AQ641" s="77">
        <f t="shared" si="19"/>
        <v>0</v>
      </c>
      <c r="AR641" s="37"/>
      <c r="AS641" s="78">
        <f t="shared" si="20"/>
        <v>0</v>
      </c>
      <c r="AT641" s="37"/>
      <c r="AU641" s="37"/>
      <c r="AV641" s="37"/>
      <c r="AW641" s="37"/>
      <c r="AX641" s="37"/>
    </row>
    <row r="642" spans="1:50" ht="20.100000000000001" customHeight="1" x14ac:dyDescent="0.25">
      <c r="A642" s="37"/>
      <c r="B642" s="58"/>
      <c r="C642" s="37"/>
      <c r="D642" s="97"/>
      <c r="E642" s="98"/>
      <c r="F642" s="101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3"/>
      <c r="T642" s="83"/>
      <c r="U642" s="85"/>
      <c r="V642" s="83"/>
      <c r="W642" s="85"/>
      <c r="X642" s="97"/>
      <c r="Y642" s="100"/>
      <c r="Z642" s="100"/>
      <c r="AA642" s="100"/>
      <c r="AB642" s="100"/>
      <c r="AC642" s="100"/>
      <c r="AD642" s="98"/>
      <c r="AE642" s="83"/>
      <c r="AF642" s="84"/>
      <c r="AG642" s="85"/>
      <c r="AH642" s="83"/>
      <c r="AI642" s="84"/>
      <c r="AJ642" s="84"/>
      <c r="AK642" s="85"/>
      <c r="AL642" s="83"/>
      <c r="AM642" s="84"/>
      <c r="AN642" s="85"/>
      <c r="AO642" s="60"/>
      <c r="AP642" s="61"/>
      <c r="AQ642" s="77">
        <f t="shared" si="19"/>
        <v>0</v>
      </c>
      <c r="AR642" s="37"/>
      <c r="AS642" s="78">
        <f t="shared" si="20"/>
        <v>0</v>
      </c>
      <c r="AT642" s="37"/>
      <c r="AU642" s="37"/>
      <c r="AV642" s="37"/>
      <c r="AW642" s="37"/>
      <c r="AX642" s="37"/>
    </row>
    <row r="643" spans="1:50" ht="20.100000000000001" customHeight="1" x14ac:dyDescent="0.25">
      <c r="A643" s="37"/>
      <c r="B643" s="58"/>
      <c r="C643" s="37"/>
      <c r="D643" s="97"/>
      <c r="E643" s="98"/>
      <c r="F643" s="101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3"/>
      <c r="T643" s="83"/>
      <c r="U643" s="85"/>
      <c r="V643" s="83"/>
      <c r="W643" s="85"/>
      <c r="X643" s="97"/>
      <c r="Y643" s="100"/>
      <c r="Z643" s="100"/>
      <c r="AA643" s="100"/>
      <c r="AB643" s="100"/>
      <c r="AC643" s="100"/>
      <c r="AD643" s="98"/>
      <c r="AE643" s="83"/>
      <c r="AF643" s="84"/>
      <c r="AG643" s="85"/>
      <c r="AH643" s="83"/>
      <c r="AI643" s="84"/>
      <c r="AJ643" s="84"/>
      <c r="AK643" s="85"/>
      <c r="AL643" s="83"/>
      <c r="AM643" s="84"/>
      <c r="AN643" s="85"/>
      <c r="AO643" s="60"/>
      <c r="AP643" s="61"/>
      <c r="AQ643" s="77">
        <f t="shared" si="19"/>
        <v>0</v>
      </c>
      <c r="AR643" s="37"/>
      <c r="AS643" s="78">
        <f t="shared" si="20"/>
        <v>0</v>
      </c>
      <c r="AT643" s="37"/>
      <c r="AU643" s="37"/>
      <c r="AV643" s="37"/>
      <c r="AW643" s="37"/>
      <c r="AX643" s="37"/>
    </row>
    <row r="644" spans="1:50" ht="20.100000000000001" customHeight="1" x14ac:dyDescent="0.25">
      <c r="A644" s="37"/>
      <c r="B644" s="58"/>
      <c r="C644" s="37"/>
      <c r="D644" s="97"/>
      <c r="E644" s="98"/>
      <c r="F644" s="101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3"/>
      <c r="T644" s="83"/>
      <c r="U644" s="85"/>
      <c r="V644" s="83"/>
      <c r="W644" s="85"/>
      <c r="X644" s="97"/>
      <c r="Y644" s="100"/>
      <c r="Z644" s="100"/>
      <c r="AA644" s="100"/>
      <c r="AB644" s="100"/>
      <c r="AC644" s="100"/>
      <c r="AD644" s="98"/>
      <c r="AE644" s="83"/>
      <c r="AF644" s="84"/>
      <c r="AG644" s="85"/>
      <c r="AH644" s="83"/>
      <c r="AI644" s="84"/>
      <c r="AJ644" s="84"/>
      <c r="AK644" s="85"/>
      <c r="AL644" s="83"/>
      <c r="AM644" s="84"/>
      <c r="AN644" s="85"/>
      <c r="AO644" s="60"/>
      <c r="AP644" s="61"/>
      <c r="AQ644" s="77">
        <f t="shared" si="19"/>
        <v>0</v>
      </c>
      <c r="AR644" s="37"/>
      <c r="AS644" s="78">
        <f t="shared" si="20"/>
        <v>0</v>
      </c>
      <c r="AT644" s="37"/>
      <c r="AU644" s="37"/>
      <c r="AV644" s="37"/>
      <c r="AW644" s="37"/>
      <c r="AX644" s="37"/>
    </row>
    <row r="645" spans="1:50" ht="20.100000000000001" customHeight="1" x14ac:dyDescent="0.25">
      <c r="A645" s="37"/>
      <c r="B645" s="58"/>
      <c r="C645" s="37"/>
      <c r="D645" s="97"/>
      <c r="E645" s="98"/>
      <c r="F645" s="101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3"/>
      <c r="T645" s="83"/>
      <c r="U645" s="85"/>
      <c r="V645" s="83"/>
      <c r="W645" s="85"/>
      <c r="X645" s="97"/>
      <c r="Y645" s="100"/>
      <c r="Z645" s="100"/>
      <c r="AA645" s="100"/>
      <c r="AB645" s="100"/>
      <c r="AC645" s="100"/>
      <c r="AD645" s="98"/>
      <c r="AE645" s="83"/>
      <c r="AF645" s="84"/>
      <c r="AG645" s="85"/>
      <c r="AH645" s="83"/>
      <c r="AI645" s="84"/>
      <c r="AJ645" s="84"/>
      <c r="AK645" s="85"/>
      <c r="AL645" s="83"/>
      <c r="AM645" s="84"/>
      <c r="AN645" s="85"/>
      <c r="AO645" s="60"/>
      <c r="AP645" s="61"/>
      <c r="AQ645" s="77">
        <f t="shared" si="19"/>
        <v>0</v>
      </c>
      <c r="AR645" s="37"/>
      <c r="AS645" s="78">
        <f t="shared" si="20"/>
        <v>0</v>
      </c>
      <c r="AT645" s="37"/>
      <c r="AU645" s="37"/>
      <c r="AV645" s="37"/>
      <c r="AW645" s="37"/>
      <c r="AX645" s="37"/>
    </row>
    <row r="646" spans="1:50" ht="20.100000000000001" customHeight="1" x14ac:dyDescent="0.25">
      <c r="A646" s="37"/>
      <c r="B646" s="58"/>
      <c r="C646" s="37"/>
      <c r="D646" s="97"/>
      <c r="E646" s="98"/>
      <c r="F646" s="101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3"/>
      <c r="T646" s="83"/>
      <c r="U646" s="85"/>
      <c r="V646" s="83"/>
      <c r="W646" s="85"/>
      <c r="X646" s="97"/>
      <c r="Y646" s="100"/>
      <c r="Z646" s="100"/>
      <c r="AA646" s="100"/>
      <c r="AB646" s="100"/>
      <c r="AC646" s="100"/>
      <c r="AD646" s="98"/>
      <c r="AE646" s="83"/>
      <c r="AF646" s="84"/>
      <c r="AG646" s="85"/>
      <c r="AH646" s="83"/>
      <c r="AI646" s="84"/>
      <c r="AJ646" s="84"/>
      <c r="AK646" s="85"/>
      <c r="AL646" s="83"/>
      <c r="AM646" s="84"/>
      <c r="AN646" s="85"/>
      <c r="AO646" s="60"/>
      <c r="AP646" s="61"/>
      <c r="AQ646" s="77">
        <f t="shared" ref="AQ646:AQ709" si="21">AP646-B646</f>
        <v>0</v>
      </c>
      <c r="AR646" s="37"/>
      <c r="AS646" s="78">
        <f t="shared" si="20"/>
        <v>0</v>
      </c>
      <c r="AT646" s="37"/>
      <c r="AU646" s="37"/>
      <c r="AV646" s="37"/>
      <c r="AW646" s="37"/>
      <c r="AX646" s="37"/>
    </row>
    <row r="647" spans="1:50" ht="20.100000000000001" customHeight="1" x14ac:dyDescent="0.25">
      <c r="A647" s="37"/>
      <c r="B647" s="58"/>
      <c r="C647" s="37"/>
      <c r="D647" s="97"/>
      <c r="E647" s="98"/>
      <c r="F647" s="101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3"/>
      <c r="T647" s="83"/>
      <c r="U647" s="85"/>
      <c r="V647" s="83"/>
      <c r="W647" s="85"/>
      <c r="X647" s="97"/>
      <c r="Y647" s="100"/>
      <c r="Z647" s="100"/>
      <c r="AA647" s="100"/>
      <c r="AB647" s="100"/>
      <c r="AC647" s="100"/>
      <c r="AD647" s="98"/>
      <c r="AE647" s="83"/>
      <c r="AF647" s="84"/>
      <c r="AG647" s="85"/>
      <c r="AH647" s="83"/>
      <c r="AI647" s="84"/>
      <c r="AJ647" s="84"/>
      <c r="AK647" s="85"/>
      <c r="AL647" s="83"/>
      <c r="AM647" s="84"/>
      <c r="AN647" s="85"/>
      <c r="AO647" s="60"/>
      <c r="AP647" s="61"/>
      <c r="AQ647" s="77">
        <f t="shared" si="21"/>
        <v>0</v>
      </c>
      <c r="AR647" s="37"/>
      <c r="AS647" s="78">
        <f t="shared" ref="AS647:AS710" si="22">AP647-AR647</f>
        <v>0</v>
      </c>
      <c r="AT647" s="37"/>
      <c r="AU647" s="37"/>
      <c r="AV647" s="37"/>
      <c r="AW647" s="37"/>
      <c r="AX647" s="37"/>
    </row>
    <row r="648" spans="1:50" ht="20.100000000000001" customHeight="1" x14ac:dyDescent="0.25">
      <c r="A648" s="37"/>
      <c r="B648" s="58"/>
      <c r="C648" s="37"/>
      <c r="D648" s="97"/>
      <c r="E648" s="98"/>
      <c r="F648" s="101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3"/>
      <c r="T648" s="83"/>
      <c r="U648" s="85"/>
      <c r="V648" s="83"/>
      <c r="W648" s="85"/>
      <c r="X648" s="97"/>
      <c r="Y648" s="100"/>
      <c r="Z648" s="100"/>
      <c r="AA648" s="100"/>
      <c r="AB648" s="100"/>
      <c r="AC648" s="100"/>
      <c r="AD648" s="98"/>
      <c r="AE648" s="83"/>
      <c r="AF648" s="84"/>
      <c r="AG648" s="85"/>
      <c r="AH648" s="83"/>
      <c r="AI648" s="84"/>
      <c r="AJ648" s="84"/>
      <c r="AK648" s="85"/>
      <c r="AL648" s="83"/>
      <c r="AM648" s="84"/>
      <c r="AN648" s="85"/>
      <c r="AO648" s="60"/>
      <c r="AP648" s="61"/>
      <c r="AQ648" s="77">
        <f t="shared" si="21"/>
        <v>0</v>
      </c>
      <c r="AR648" s="37"/>
      <c r="AS648" s="78">
        <f t="shared" si="22"/>
        <v>0</v>
      </c>
      <c r="AT648" s="37"/>
      <c r="AU648" s="37"/>
      <c r="AV648" s="37"/>
      <c r="AW648" s="37"/>
      <c r="AX648" s="37"/>
    </row>
    <row r="649" spans="1:50" ht="20.100000000000001" customHeight="1" x14ac:dyDescent="0.25">
      <c r="A649" s="37"/>
      <c r="B649" s="58"/>
      <c r="C649" s="37"/>
      <c r="D649" s="97"/>
      <c r="E649" s="98"/>
      <c r="F649" s="101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3"/>
      <c r="T649" s="83"/>
      <c r="U649" s="85"/>
      <c r="V649" s="83"/>
      <c r="W649" s="85"/>
      <c r="X649" s="97"/>
      <c r="Y649" s="100"/>
      <c r="Z649" s="100"/>
      <c r="AA649" s="100"/>
      <c r="AB649" s="100"/>
      <c r="AC649" s="100"/>
      <c r="AD649" s="98"/>
      <c r="AE649" s="83"/>
      <c r="AF649" s="84"/>
      <c r="AG649" s="85"/>
      <c r="AH649" s="83"/>
      <c r="AI649" s="84"/>
      <c r="AJ649" s="84"/>
      <c r="AK649" s="85"/>
      <c r="AL649" s="83"/>
      <c r="AM649" s="84"/>
      <c r="AN649" s="85"/>
      <c r="AO649" s="60"/>
      <c r="AP649" s="61"/>
      <c r="AQ649" s="77">
        <f t="shared" si="21"/>
        <v>0</v>
      </c>
      <c r="AR649" s="37"/>
      <c r="AS649" s="78">
        <f t="shared" si="22"/>
        <v>0</v>
      </c>
      <c r="AT649" s="37"/>
      <c r="AU649" s="37"/>
      <c r="AV649" s="37"/>
      <c r="AW649" s="37"/>
      <c r="AX649" s="37"/>
    </row>
    <row r="650" spans="1:50" ht="20.100000000000001" customHeight="1" x14ac:dyDescent="0.25">
      <c r="A650" s="37"/>
      <c r="B650" s="58"/>
      <c r="C650" s="37"/>
      <c r="D650" s="97"/>
      <c r="E650" s="98"/>
      <c r="F650" s="101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3"/>
      <c r="T650" s="83"/>
      <c r="U650" s="85"/>
      <c r="V650" s="83"/>
      <c r="W650" s="85"/>
      <c r="X650" s="97"/>
      <c r="Y650" s="100"/>
      <c r="Z650" s="100"/>
      <c r="AA650" s="100"/>
      <c r="AB650" s="100"/>
      <c r="AC650" s="100"/>
      <c r="AD650" s="98"/>
      <c r="AE650" s="83"/>
      <c r="AF650" s="84"/>
      <c r="AG650" s="85"/>
      <c r="AH650" s="83"/>
      <c r="AI650" s="84"/>
      <c r="AJ650" s="84"/>
      <c r="AK650" s="85"/>
      <c r="AL650" s="83"/>
      <c r="AM650" s="84"/>
      <c r="AN650" s="85"/>
      <c r="AO650" s="60"/>
      <c r="AP650" s="61"/>
      <c r="AQ650" s="77">
        <f t="shared" si="21"/>
        <v>0</v>
      </c>
      <c r="AR650" s="37"/>
      <c r="AS650" s="78">
        <f t="shared" si="22"/>
        <v>0</v>
      </c>
      <c r="AT650" s="37"/>
      <c r="AU650" s="37"/>
      <c r="AV650" s="37"/>
      <c r="AW650" s="37"/>
      <c r="AX650" s="37"/>
    </row>
    <row r="651" spans="1:50" ht="20.100000000000001" customHeight="1" x14ac:dyDescent="0.25">
      <c r="A651" s="37"/>
      <c r="B651" s="58"/>
      <c r="C651" s="37"/>
      <c r="D651" s="97"/>
      <c r="E651" s="98"/>
      <c r="F651" s="101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3"/>
      <c r="T651" s="83"/>
      <c r="U651" s="85"/>
      <c r="V651" s="83"/>
      <c r="W651" s="85"/>
      <c r="X651" s="97"/>
      <c r="Y651" s="100"/>
      <c r="Z651" s="100"/>
      <c r="AA651" s="100"/>
      <c r="AB651" s="100"/>
      <c r="AC651" s="100"/>
      <c r="AD651" s="98"/>
      <c r="AE651" s="83"/>
      <c r="AF651" s="84"/>
      <c r="AG651" s="85"/>
      <c r="AH651" s="83"/>
      <c r="AI651" s="84"/>
      <c r="AJ651" s="84"/>
      <c r="AK651" s="85"/>
      <c r="AL651" s="83"/>
      <c r="AM651" s="84"/>
      <c r="AN651" s="85"/>
      <c r="AO651" s="60"/>
      <c r="AP651" s="61"/>
      <c r="AQ651" s="77">
        <f t="shared" si="21"/>
        <v>0</v>
      </c>
      <c r="AR651" s="37"/>
      <c r="AS651" s="78">
        <f t="shared" si="22"/>
        <v>0</v>
      </c>
      <c r="AT651" s="37"/>
      <c r="AU651" s="37"/>
      <c r="AV651" s="37"/>
      <c r="AW651" s="37"/>
      <c r="AX651" s="37"/>
    </row>
    <row r="652" spans="1:50" ht="20.100000000000001" customHeight="1" x14ac:dyDescent="0.25">
      <c r="A652" s="37"/>
      <c r="B652" s="58"/>
      <c r="C652" s="37"/>
      <c r="D652" s="97"/>
      <c r="E652" s="98"/>
      <c r="F652" s="101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3"/>
      <c r="T652" s="83"/>
      <c r="U652" s="85"/>
      <c r="V652" s="83"/>
      <c r="W652" s="85"/>
      <c r="X652" s="97"/>
      <c r="Y652" s="100"/>
      <c r="Z652" s="100"/>
      <c r="AA652" s="100"/>
      <c r="AB652" s="100"/>
      <c r="AC652" s="100"/>
      <c r="AD652" s="98"/>
      <c r="AE652" s="83"/>
      <c r="AF652" s="84"/>
      <c r="AG652" s="85"/>
      <c r="AH652" s="83"/>
      <c r="AI652" s="84"/>
      <c r="AJ652" s="84"/>
      <c r="AK652" s="85"/>
      <c r="AL652" s="83"/>
      <c r="AM652" s="84"/>
      <c r="AN652" s="85"/>
      <c r="AO652" s="60"/>
      <c r="AP652" s="61"/>
      <c r="AQ652" s="77">
        <f t="shared" si="21"/>
        <v>0</v>
      </c>
      <c r="AR652" s="37"/>
      <c r="AS652" s="78">
        <f t="shared" si="22"/>
        <v>0</v>
      </c>
      <c r="AT652" s="37"/>
      <c r="AU652" s="37"/>
      <c r="AV652" s="37"/>
      <c r="AW652" s="37"/>
      <c r="AX652" s="37"/>
    </row>
    <row r="653" spans="1:50" ht="20.100000000000001" customHeight="1" x14ac:dyDescent="0.25">
      <c r="A653" s="37"/>
      <c r="B653" s="58"/>
      <c r="C653" s="37"/>
      <c r="D653" s="97"/>
      <c r="E653" s="98"/>
      <c r="F653" s="101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3"/>
      <c r="T653" s="83"/>
      <c r="U653" s="85"/>
      <c r="V653" s="83"/>
      <c r="W653" s="85"/>
      <c r="X653" s="97"/>
      <c r="Y653" s="100"/>
      <c r="Z653" s="100"/>
      <c r="AA653" s="100"/>
      <c r="AB653" s="100"/>
      <c r="AC653" s="100"/>
      <c r="AD653" s="98"/>
      <c r="AE653" s="83"/>
      <c r="AF653" s="84"/>
      <c r="AG653" s="85"/>
      <c r="AH653" s="83"/>
      <c r="AI653" s="84"/>
      <c r="AJ653" s="84"/>
      <c r="AK653" s="85"/>
      <c r="AL653" s="83"/>
      <c r="AM653" s="84"/>
      <c r="AN653" s="85"/>
      <c r="AO653" s="60"/>
      <c r="AP653" s="61"/>
      <c r="AQ653" s="77">
        <f t="shared" si="21"/>
        <v>0</v>
      </c>
      <c r="AR653" s="37"/>
      <c r="AS653" s="78">
        <f t="shared" si="22"/>
        <v>0</v>
      </c>
      <c r="AT653" s="37"/>
      <c r="AU653" s="37"/>
      <c r="AV653" s="37"/>
      <c r="AW653" s="37"/>
      <c r="AX653" s="37"/>
    </row>
    <row r="654" spans="1:50" ht="20.100000000000001" customHeight="1" x14ac:dyDescent="0.25">
      <c r="A654" s="37"/>
      <c r="B654" s="58"/>
      <c r="C654" s="37"/>
      <c r="D654" s="97"/>
      <c r="E654" s="98"/>
      <c r="F654" s="101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3"/>
      <c r="T654" s="83"/>
      <c r="U654" s="85"/>
      <c r="V654" s="83"/>
      <c r="W654" s="85"/>
      <c r="X654" s="97"/>
      <c r="Y654" s="100"/>
      <c r="Z654" s="100"/>
      <c r="AA654" s="100"/>
      <c r="AB654" s="100"/>
      <c r="AC654" s="100"/>
      <c r="AD654" s="98"/>
      <c r="AE654" s="83"/>
      <c r="AF654" s="84"/>
      <c r="AG654" s="85"/>
      <c r="AH654" s="83"/>
      <c r="AI654" s="84"/>
      <c r="AJ654" s="84"/>
      <c r="AK654" s="85"/>
      <c r="AL654" s="83"/>
      <c r="AM654" s="84"/>
      <c r="AN654" s="85"/>
      <c r="AO654" s="60"/>
      <c r="AP654" s="61"/>
      <c r="AQ654" s="77">
        <f t="shared" si="21"/>
        <v>0</v>
      </c>
      <c r="AR654" s="37"/>
      <c r="AS654" s="78">
        <f t="shared" si="22"/>
        <v>0</v>
      </c>
      <c r="AT654" s="37"/>
      <c r="AU654" s="37"/>
      <c r="AV654" s="37"/>
      <c r="AW654" s="37"/>
      <c r="AX654" s="37"/>
    </row>
    <row r="655" spans="1:50" ht="20.100000000000001" customHeight="1" x14ac:dyDescent="0.25">
      <c r="A655" s="37"/>
      <c r="B655" s="58"/>
      <c r="C655" s="37"/>
      <c r="D655" s="97"/>
      <c r="E655" s="98"/>
      <c r="F655" s="101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3"/>
      <c r="T655" s="83"/>
      <c r="U655" s="85"/>
      <c r="V655" s="83"/>
      <c r="W655" s="85"/>
      <c r="X655" s="97"/>
      <c r="Y655" s="100"/>
      <c r="Z655" s="100"/>
      <c r="AA655" s="100"/>
      <c r="AB655" s="100"/>
      <c r="AC655" s="100"/>
      <c r="AD655" s="98"/>
      <c r="AE655" s="83"/>
      <c r="AF655" s="84"/>
      <c r="AG655" s="85"/>
      <c r="AH655" s="83"/>
      <c r="AI655" s="84"/>
      <c r="AJ655" s="84"/>
      <c r="AK655" s="85"/>
      <c r="AL655" s="83"/>
      <c r="AM655" s="84"/>
      <c r="AN655" s="85"/>
      <c r="AO655" s="60"/>
      <c r="AP655" s="61"/>
      <c r="AQ655" s="77">
        <f t="shared" si="21"/>
        <v>0</v>
      </c>
      <c r="AR655" s="37"/>
      <c r="AS655" s="78">
        <f t="shared" si="22"/>
        <v>0</v>
      </c>
      <c r="AT655" s="37"/>
      <c r="AU655" s="37"/>
      <c r="AV655" s="37"/>
      <c r="AW655" s="37"/>
      <c r="AX655" s="37"/>
    </row>
    <row r="656" spans="1:50" ht="20.100000000000001" customHeight="1" x14ac:dyDescent="0.25">
      <c r="A656" s="37"/>
      <c r="B656" s="58"/>
      <c r="C656" s="37"/>
      <c r="D656" s="97"/>
      <c r="E656" s="98"/>
      <c r="F656" s="101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3"/>
      <c r="T656" s="83"/>
      <c r="U656" s="85"/>
      <c r="V656" s="83"/>
      <c r="W656" s="85"/>
      <c r="X656" s="97"/>
      <c r="Y656" s="100"/>
      <c r="Z656" s="100"/>
      <c r="AA656" s="100"/>
      <c r="AB656" s="100"/>
      <c r="AC656" s="100"/>
      <c r="AD656" s="98"/>
      <c r="AE656" s="83"/>
      <c r="AF656" s="84"/>
      <c r="AG656" s="85"/>
      <c r="AH656" s="83"/>
      <c r="AI656" s="84"/>
      <c r="AJ656" s="84"/>
      <c r="AK656" s="85"/>
      <c r="AL656" s="83"/>
      <c r="AM656" s="84"/>
      <c r="AN656" s="85"/>
      <c r="AO656" s="60"/>
      <c r="AP656" s="61"/>
      <c r="AQ656" s="77">
        <f t="shared" si="21"/>
        <v>0</v>
      </c>
      <c r="AR656" s="37"/>
      <c r="AS656" s="78">
        <f t="shared" si="22"/>
        <v>0</v>
      </c>
      <c r="AT656" s="37"/>
      <c r="AU656" s="37"/>
      <c r="AV656" s="37"/>
      <c r="AW656" s="37"/>
      <c r="AX656" s="37"/>
    </row>
    <row r="657" spans="1:50" ht="20.100000000000001" customHeight="1" x14ac:dyDescent="0.25">
      <c r="A657" s="37"/>
      <c r="B657" s="58"/>
      <c r="C657" s="37"/>
      <c r="D657" s="97"/>
      <c r="E657" s="98"/>
      <c r="F657" s="101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3"/>
      <c r="T657" s="83"/>
      <c r="U657" s="85"/>
      <c r="V657" s="83"/>
      <c r="W657" s="85"/>
      <c r="X657" s="97"/>
      <c r="Y657" s="100"/>
      <c r="Z657" s="100"/>
      <c r="AA657" s="100"/>
      <c r="AB657" s="100"/>
      <c r="AC657" s="100"/>
      <c r="AD657" s="98"/>
      <c r="AE657" s="83"/>
      <c r="AF657" s="84"/>
      <c r="AG657" s="85"/>
      <c r="AH657" s="83"/>
      <c r="AI657" s="84"/>
      <c r="AJ657" s="84"/>
      <c r="AK657" s="85"/>
      <c r="AL657" s="83"/>
      <c r="AM657" s="84"/>
      <c r="AN657" s="85"/>
      <c r="AO657" s="60"/>
      <c r="AP657" s="61"/>
      <c r="AQ657" s="77">
        <f t="shared" si="21"/>
        <v>0</v>
      </c>
      <c r="AR657" s="37"/>
      <c r="AS657" s="78">
        <f t="shared" si="22"/>
        <v>0</v>
      </c>
      <c r="AT657" s="37"/>
      <c r="AU657" s="37"/>
      <c r="AV657" s="37"/>
      <c r="AW657" s="37"/>
      <c r="AX657" s="37"/>
    </row>
    <row r="658" spans="1:50" ht="20.100000000000001" customHeight="1" x14ac:dyDescent="0.25">
      <c r="A658" s="37"/>
      <c r="B658" s="58"/>
      <c r="C658" s="37"/>
      <c r="D658" s="97"/>
      <c r="E658" s="98"/>
      <c r="F658" s="101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3"/>
      <c r="T658" s="83"/>
      <c r="U658" s="85"/>
      <c r="V658" s="83"/>
      <c r="W658" s="85"/>
      <c r="X658" s="97"/>
      <c r="Y658" s="100"/>
      <c r="Z658" s="100"/>
      <c r="AA658" s="100"/>
      <c r="AB658" s="100"/>
      <c r="AC658" s="100"/>
      <c r="AD658" s="98"/>
      <c r="AE658" s="83"/>
      <c r="AF658" s="84"/>
      <c r="AG658" s="85"/>
      <c r="AH658" s="83"/>
      <c r="AI658" s="84"/>
      <c r="AJ658" s="84"/>
      <c r="AK658" s="85"/>
      <c r="AL658" s="83"/>
      <c r="AM658" s="84"/>
      <c r="AN658" s="85"/>
      <c r="AO658" s="60"/>
      <c r="AP658" s="61"/>
      <c r="AQ658" s="77">
        <f t="shared" si="21"/>
        <v>0</v>
      </c>
      <c r="AR658" s="37"/>
      <c r="AS658" s="78">
        <f t="shared" si="22"/>
        <v>0</v>
      </c>
      <c r="AT658" s="37"/>
      <c r="AU658" s="37"/>
      <c r="AV658" s="37"/>
      <c r="AW658" s="37"/>
      <c r="AX658" s="37"/>
    </row>
    <row r="659" spans="1:50" ht="20.100000000000001" customHeight="1" x14ac:dyDescent="0.25">
      <c r="A659" s="37"/>
      <c r="B659" s="58"/>
      <c r="C659" s="37"/>
      <c r="D659" s="97"/>
      <c r="E659" s="98"/>
      <c r="F659" s="101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3"/>
      <c r="T659" s="83"/>
      <c r="U659" s="85"/>
      <c r="V659" s="83"/>
      <c r="W659" s="85"/>
      <c r="X659" s="97"/>
      <c r="Y659" s="100"/>
      <c r="Z659" s="100"/>
      <c r="AA659" s="100"/>
      <c r="AB659" s="100"/>
      <c r="AC659" s="100"/>
      <c r="AD659" s="98"/>
      <c r="AE659" s="83"/>
      <c r="AF659" s="84"/>
      <c r="AG659" s="85"/>
      <c r="AH659" s="83"/>
      <c r="AI659" s="84"/>
      <c r="AJ659" s="84"/>
      <c r="AK659" s="85"/>
      <c r="AL659" s="83"/>
      <c r="AM659" s="84"/>
      <c r="AN659" s="85"/>
      <c r="AO659" s="60"/>
      <c r="AP659" s="61"/>
      <c r="AQ659" s="77">
        <f t="shared" si="21"/>
        <v>0</v>
      </c>
      <c r="AR659" s="37"/>
      <c r="AS659" s="78">
        <f t="shared" si="22"/>
        <v>0</v>
      </c>
      <c r="AT659" s="37"/>
      <c r="AU659" s="37"/>
      <c r="AV659" s="37"/>
      <c r="AW659" s="37"/>
      <c r="AX659" s="37"/>
    </row>
    <row r="660" spans="1:50" ht="20.100000000000001" customHeight="1" x14ac:dyDescent="0.25">
      <c r="A660" s="37"/>
      <c r="B660" s="58"/>
      <c r="C660" s="37"/>
      <c r="D660" s="97"/>
      <c r="E660" s="98"/>
      <c r="F660" s="101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3"/>
      <c r="T660" s="83"/>
      <c r="U660" s="85"/>
      <c r="V660" s="83"/>
      <c r="W660" s="85"/>
      <c r="X660" s="97"/>
      <c r="Y660" s="100"/>
      <c r="Z660" s="100"/>
      <c r="AA660" s="100"/>
      <c r="AB660" s="100"/>
      <c r="AC660" s="100"/>
      <c r="AD660" s="98"/>
      <c r="AE660" s="83"/>
      <c r="AF660" s="84"/>
      <c r="AG660" s="85"/>
      <c r="AH660" s="83"/>
      <c r="AI660" s="84"/>
      <c r="AJ660" s="84"/>
      <c r="AK660" s="85"/>
      <c r="AL660" s="83"/>
      <c r="AM660" s="84"/>
      <c r="AN660" s="85"/>
      <c r="AO660" s="60"/>
      <c r="AP660" s="61"/>
      <c r="AQ660" s="77">
        <f t="shared" si="21"/>
        <v>0</v>
      </c>
      <c r="AR660" s="37"/>
      <c r="AS660" s="78">
        <f t="shared" si="22"/>
        <v>0</v>
      </c>
      <c r="AT660" s="37"/>
      <c r="AU660" s="37"/>
      <c r="AV660" s="37"/>
      <c r="AW660" s="37"/>
      <c r="AX660" s="37"/>
    </row>
    <row r="661" spans="1:50" ht="20.100000000000001" customHeight="1" x14ac:dyDescent="0.25">
      <c r="A661" s="37"/>
      <c r="B661" s="58"/>
      <c r="C661" s="37"/>
      <c r="D661" s="97"/>
      <c r="E661" s="98"/>
      <c r="F661" s="101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3"/>
      <c r="T661" s="83"/>
      <c r="U661" s="85"/>
      <c r="V661" s="83"/>
      <c r="W661" s="85"/>
      <c r="X661" s="97"/>
      <c r="Y661" s="100"/>
      <c r="Z661" s="100"/>
      <c r="AA661" s="100"/>
      <c r="AB661" s="100"/>
      <c r="AC661" s="100"/>
      <c r="AD661" s="98"/>
      <c r="AE661" s="83"/>
      <c r="AF661" s="84"/>
      <c r="AG661" s="85"/>
      <c r="AH661" s="83"/>
      <c r="AI661" s="84"/>
      <c r="AJ661" s="84"/>
      <c r="AK661" s="85"/>
      <c r="AL661" s="83"/>
      <c r="AM661" s="84"/>
      <c r="AN661" s="85"/>
      <c r="AO661" s="60"/>
      <c r="AP661" s="61"/>
      <c r="AQ661" s="77">
        <f t="shared" si="21"/>
        <v>0</v>
      </c>
      <c r="AR661" s="37"/>
      <c r="AS661" s="78">
        <f t="shared" si="22"/>
        <v>0</v>
      </c>
      <c r="AT661" s="37"/>
      <c r="AU661" s="37"/>
      <c r="AV661" s="37"/>
      <c r="AW661" s="37"/>
      <c r="AX661" s="37"/>
    </row>
    <row r="662" spans="1:50" ht="20.100000000000001" customHeight="1" x14ac:dyDescent="0.25">
      <c r="A662" s="37"/>
      <c r="B662" s="58"/>
      <c r="C662" s="37"/>
      <c r="D662" s="97"/>
      <c r="E662" s="98"/>
      <c r="F662" s="101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3"/>
      <c r="T662" s="83"/>
      <c r="U662" s="85"/>
      <c r="V662" s="83"/>
      <c r="W662" s="85"/>
      <c r="X662" s="97"/>
      <c r="Y662" s="100"/>
      <c r="Z662" s="100"/>
      <c r="AA662" s="100"/>
      <c r="AB662" s="100"/>
      <c r="AC662" s="100"/>
      <c r="AD662" s="98"/>
      <c r="AE662" s="83"/>
      <c r="AF662" s="84"/>
      <c r="AG662" s="85"/>
      <c r="AH662" s="83"/>
      <c r="AI662" s="84"/>
      <c r="AJ662" s="84"/>
      <c r="AK662" s="85"/>
      <c r="AL662" s="83"/>
      <c r="AM662" s="84"/>
      <c r="AN662" s="85"/>
      <c r="AO662" s="60"/>
      <c r="AP662" s="61"/>
      <c r="AQ662" s="77">
        <f t="shared" si="21"/>
        <v>0</v>
      </c>
      <c r="AR662" s="37"/>
      <c r="AS662" s="78">
        <f t="shared" si="22"/>
        <v>0</v>
      </c>
      <c r="AT662" s="37"/>
      <c r="AU662" s="37"/>
      <c r="AV662" s="37"/>
      <c r="AW662" s="37"/>
      <c r="AX662" s="37"/>
    </row>
    <row r="663" spans="1:50" ht="20.100000000000001" customHeight="1" x14ac:dyDescent="0.25">
      <c r="A663" s="37"/>
      <c r="B663" s="58"/>
      <c r="C663" s="37"/>
      <c r="D663" s="97"/>
      <c r="E663" s="98"/>
      <c r="F663" s="101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3"/>
      <c r="T663" s="83"/>
      <c r="U663" s="85"/>
      <c r="V663" s="83"/>
      <c r="W663" s="85"/>
      <c r="X663" s="97"/>
      <c r="Y663" s="100"/>
      <c r="Z663" s="100"/>
      <c r="AA663" s="100"/>
      <c r="AB663" s="100"/>
      <c r="AC663" s="100"/>
      <c r="AD663" s="98"/>
      <c r="AE663" s="83"/>
      <c r="AF663" s="84"/>
      <c r="AG663" s="85"/>
      <c r="AH663" s="83"/>
      <c r="AI663" s="84"/>
      <c r="AJ663" s="84"/>
      <c r="AK663" s="85"/>
      <c r="AL663" s="83"/>
      <c r="AM663" s="84"/>
      <c r="AN663" s="85"/>
      <c r="AO663" s="60"/>
      <c r="AP663" s="61"/>
      <c r="AQ663" s="77">
        <f t="shared" si="21"/>
        <v>0</v>
      </c>
      <c r="AR663" s="37"/>
      <c r="AS663" s="78">
        <f t="shared" si="22"/>
        <v>0</v>
      </c>
      <c r="AT663" s="37"/>
      <c r="AU663" s="37"/>
      <c r="AV663" s="37"/>
      <c r="AW663" s="37"/>
      <c r="AX663" s="37"/>
    </row>
    <row r="664" spans="1:50" ht="20.100000000000001" customHeight="1" x14ac:dyDescent="0.25">
      <c r="A664" s="37"/>
      <c r="B664" s="58"/>
      <c r="C664" s="37"/>
      <c r="D664" s="97"/>
      <c r="E664" s="98"/>
      <c r="F664" s="101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3"/>
      <c r="T664" s="83"/>
      <c r="U664" s="85"/>
      <c r="V664" s="83"/>
      <c r="W664" s="85"/>
      <c r="X664" s="97"/>
      <c r="Y664" s="100"/>
      <c r="Z664" s="100"/>
      <c r="AA664" s="100"/>
      <c r="AB664" s="100"/>
      <c r="AC664" s="100"/>
      <c r="AD664" s="98"/>
      <c r="AE664" s="83"/>
      <c r="AF664" s="84"/>
      <c r="AG664" s="85"/>
      <c r="AH664" s="83"/>
      <c r="AI664" s="84"/>
      <c r="AJ664" s="84"/>
      <c r="AK664" s="85"/>
      <c r="AL664" s="83"/>
      <c r="AM664" s="84"/>
      <c r="AN664" s="85"/>
      <c r="AO664" s="60"/>
      <c r="AP664" s="61"/>
      <c r="AQ664" s="77">
        <f t="shared" si="21"/>
        <v>0</v>
      </c>
      <c r="AR664" s="37"/>
      <c r="AS664" s="78">
        <f t="shared" si="22"/>
        <v>0</v>
      </c>
      <c r="AT664" s="37"/>
      <c r="AU664" s="37"/>
      <c r="AV664" s="37"/>
      <c r="AW664" s="37"/>
      <c r="AX664" s="37"/>
    </row>
    <row r="665" spans="1:50" ht="20.100000000000001" customHeight="1" x14ac:dyDescent="0.25">
      <c r="A665" s="37"/>
      <c r="B665" s="58"/>
      <c r="C665" s="37"/>
      <c r="D665" s="97"/>
      <c r="E665" s="98"/>
      <c r="F665" s="101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3"/>
      <c r="T665" s="83"/>
      <c r="U665" s="85"/>
      <c r="V665" s="83"/>
      <c r="W665" s="85"/>
      <c r="X665" s="97"/>
      <c r="Y665" s="100"/>
      <c r="Z665" s="100"/>
      <c r="AA665" s="100"/>
      <c r="AB665" s="100"/>
      <c r="AC665" s="100"/>
      <c r="AD665" s="98"/>
      <c r="AE665" s="83"/>
      <c r="AF665" s="84"/>
      <c r="AG665" s="85"/>
      <c r="AH665" s="83"/>
      <c r="AI665" s="84"/>
      <c r="AJ665" s="84"/>
      <c r="AK665" s="85"/>
      <c r="AL665" s="83"/>
      <c r="AM665" s="84"/>
      <c r="AN665" s="85"/>
      <c r="AO665" s="60"/>
      <c r="AP665" s="61"/>
      <c r="AQ665" s="77">
        <f t="shared" si="21"/>
        <v>0</v>
      </c>
      <c r="AR665" s="37"/>
      <c r="AS665" s="78">
        <f t="shared" si="22"/>
        <v>0</v>
      </c>
      <c r="AT665" s="37"/>
      <c r="AU665" s="37"/>
      <c r="AV665" s="37"/>
      <c r="AW665" s="37"/>
      <c r="AX665" s="37"/>
    </row>
    <row r="666" spans="1:50" ht="20.100000000000001" customHeight="1" x14ac:dyDescent="0.25">
      <c r="A666" s="37"/>
      <c r="B666" s="58"/>
      <c r="C666" s="37"/>
      <c r="D666" s="97"/>
      <c r="E666" s="98"/>
      <c r="F666" s="101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3"/>
      <c r="T666" s="83"/>
      <c r="U666" s="85"/>
      <c r="V666" s="83"/>
      <c r="W666" s="85"/>
      <c r="X666" s="97"/>
      <c r="Y666" s="100"/>
      <c r="Z666" s="100"/>
      <c r="AA666" s="100"/>
      <c r="AB666" s="100"/>
      <c r="AC666" s="100"/>
      <c r="AD666" s="98"/>
      <c r="AE666" s="83"/>
      <c r="AF666" s="84"/>
      <c r="AG666" s="85"/>
      <c r="AH666" s="83"/>
      <c r="AI666" s="84"/>
      <c r="AJ666" s="84"/>
      <c r="AK666" s="85"/>
      <c r="AL666" s="83"/>
      <c r="AM666" s="84"/>
      <c r="AN666" s="85"/>
      <c r="AO666" s="60"/>
      <c r="AP666" s="61"/>
      <c r="AQ666" s="77">
        <f t="shared" si="21"/>
        <v>0</v>
      </c>
      <c r="AR666" s="37"/>
      <c r="AS666" s="78">
        <f t="shared" si="22"/>
        <v>0</v>
      </c>
      <c r="AT666" s="37"/>
      <c r="AU666" s="37"/>
      <c r="AV666" s="37"/>
      <c r="AW666" s="37"/>
      <c r="AX666" s="37"/>
    </row>
    <row r="667" spans="1:50" ht="20.100000000000001" customHeight="1" x14ac:dyDescent="0.25">
      <c r="A667" s="37"/>
      <c r="B667" s="58"/>
      <c r="C667" s="37"/>
      <c r="D667" s="97"/>
      <c r="E667" s="98"/>
      <c r="F667" s="101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3"/>
      <c r="T667" s="83"/>
      <c r="U667" s="85"/>
      <c r="V667" s="83"/>
      <c r="W667" s="85"/>
      <c r="X667" s="97"/>
      <c r="Y667" s="100"/>
      <c r="Z667" s="100"/>
      <c r="AA667" s="100"/>
      <c r="AB667" s="100"/>
      <c r="AC667" s="100"/>
      <c r="AD667" s="98"/>
      <c r="AE667" s="83"/>
      <c r="AF667" s="84"/>
      <c r="AG667" s="85"/>
      <c r="AH667" s="83"/>
      <c r="AI667" s="84"/>
      <c r="AJ667" s="84"/>
      <c r="AK667" s="85"/>
      <c r="AL667" s="83"/>
      <c r="AM667" s="84"/>
      <c r="AN667" s="85"/>
      <c r="AO667" s="60"/>
      <c r="AP667" s="61"/>
      <c r="AQ667" s="77">
        <f t="shared" si="21"/>
        <v>0</v>
      </c>
      <c r="AR667" s="37"/>
      <c r="AS667" s="78">
        <f t="shared" si="22"/>
        <v>0</v>
      </c>
      <c r="AT667" s="37"/>
      <c r="AU667" s="37"/>
      <c r="AV667" s="37"/>
      <c r="AW667" s="37"/>
      <c r="AX667" s="37"/>
    </row>
    <row r="668" spans="1:50" ht="20.100000000000001" customHeight="1" x14ac:dyDescent="0.25">
      <c r="A668" s="37"/>
      <c r="B668" s="58"/>
      <c r="C668" s="37"/>
      <c r="D668" s="97"/>
      <c r="E668" s="98"/>
      <c r="F668" s="101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3"/>
      <c r="T668" s="83"/>
      <c r="U668" s="85"/>
      <c r="V668" s="83"/>
      <c r="W668" s="85"/>
      <c r="X668" s="97"/>
      <c r="Y668" s="100"/>
      <c r="Z668" s="100"/>
      <c r="AA668" s="100"/>
      <c r="AB668" s="100"/>
      <c r="AC668" s="100"/>
      <c r="AD668" s="98"/>
      <c r="AE668" s="83"/>
      <c r="AF668" s="84"/>
      <c r="AG668" s="85"/>
      <c r="AH668" s="83"/>
      <c r="AI668" s="84"/>
      <c r="AJ668" s="84"/>
      <c r="AK668" s="85"/>
      <c r="AL668" s="83"/>
      <c r="AM668" s="84"/>
      <c r="AN668" s="85"/>
      <c r="AO668" s="60"/>
      <c r="AP668" s="61"/>
      <c r="AQ668" s="77">
        <f t="shared" si="21"/>
        <v>0</v>
      </c>
      <c r="AR668" s="37"/>
      <c r="AS668" s="78">
        <f t="shared" si="22"/>
        <v>0</v>
      </c>
      <c r="AT668" s="37"/>
      <c r="AU668" s="37"/>
      <c r="AV668" s="37"/>
      <c r="AW668" s="37"/>
      <c r="AX668" s="37"/>
    </row>
    <row r="669" spans="1:50" ht="20.100000000000001" customHeight="1" x14ac:dyDescent="0.25">
      <c r="A669" s="37"/>
      <c r="B669" s="58"/>
      <c r="C669" s="37"/>
      <c r="D669" s="97"/>
      <c r="E669" s="98"/>
      <c r="F669" s="101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3"/>
      <c r="T669" s="83"/>
      <c r="U669" s="85"/>
      <c r="V669" s="83"/>
      <c r="W669" s="85"/>
      <c r="X669" s="97"/>
      <c r="Y669" s="100"/>
      <c r="Z669" s="100"/>
      <c r="AA669" s="100"/>
      <c r="AB669" s="100"/>
      <c r="AC669" s="100"/>
      <c r="AD669" s="98"/>
      <c r="AE669" s="83"/>
      <c r="AF669" s="84"/>
      <c r="AG669" s="85"/>
      <c r="AH669" s="83"/>
      <c r="AI669" s="84"/>
      <c r="AJ669" s="84"/>
      <c r="AK669" s="85"/>
      <c r="AL669" s="83"/>
      <c r="AM669" s="84"/>
      <c r="AN669" s="85"/>
      <c r="AO669" s="60"/>
      <c r="AP669" s="61"/>
      <c r="AQ669" s="77">
        <f t="shared" si="21"/>
        <v>0</v>
      </c>
      <c r="AR669" s="37"/>
      <c r="AS669" s="78">
        <f t="shared" si="22"/>
        <v>0</v>
      </c>
      <c r="AT669" s="37"/>
      <c r="AU669" s="37"/>
      <c r="AV669" s="37"/>
      <c r="AW669" s="37"/>
      <c r="AX669" s="37"/>
    </row>
    <row r="670" spans="1:50" ht="20.100000000000001" customHeight="1" x14ac:dyDescent="0.25">
      <c r="A670" s="37"/>
      <c r="B670" s="58"/>
      <c r="C670" s="37"/>
      <c r="D670" s="97"/>
      <c r="E670" s="98"/>
      <c r="F670" s="101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3"/>
      <c r="T670" s="83"/>
      <c r="U670" s="85"/>
      <c r="V670" s="83"/>
      <c r="W670" s="85"/>
      <c r="X670" s="97"/>
      <c r="Y670" s="100"/>
      <c r="Z670" s="100"/>
      <c r="AA670" s="100"/>
      <c r="AB670" s="100"/>
      <c r="AC670" s="100"/>
      <c r="AD670" s="98"/>
      <c r="AE670" s="83"/>
      <c r="AF670" s="84"/>
      <c r="AG670" s="85"/>
      <c r="AH670" s="83"/>
      <c r="AI670" s="84"/>
      <c r="AJ670" s="84"/>
      <c r="AK670" s="85"/>
      <c r="AL670" s="83"/>
      <c r="AM670" s="84"/>
      <c r="AN670" s="85"/>
      <c r="AO670" s="60"/>
      <c r="AP670" s="61"/>
      <c r="AQ670" s="77">
        <f t="shared" si="21"/>
        <v>0</v>
      </c>
      <c r="AR670" s="37"/>
      <c r="AS670" s="78">
        <f t="shared" si="22"/>
        <v>0</v>
      </c>
      <c r="AT670" s="37"/>
      <c r="AU670" s="37"/>
      <c r="AV670" s="37"/>
      <c r="AW670" s="37"/>
      <c r="AX670" s="37"/>
    </row>
    <row r="671" spans="1:50" ht="20.100000000000001" customHeight="1" x14ac:dyDescent="0.25">
      <c r="A671" s="37"/>
      <c r="B671" s="58"/>
      <c r="C671" s="37"/>
      <c r="D671" s="97"/>
      <c r="E671" s="98"/>
      <c r="F671" s="101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3"/>
      <c r="T671" s="83"/>
      <c r="U671" s="85"/>
      <c r="V671" s="83"/>
      <c r="W671" s="85"/>
      <c r="X671" s="97"/>
      <c r="Y671" s="100"/>
      <c r="Z671" s="100"/>
      <c r="AA671" s="100"/>
      <c r="AB671" s="100"/>
      <c r="AC671" s="100"/>
      <c r="AD671" s="98"/>
      <c r="AE671" s="83"/>
      <c r="AF671" s="84"/>
      <c r="AG671" s="85"/>
      <c r="AH671" s="83"/>
      <c r="AI671" s="84"/>
      <c r="AJ671" s="84"/>
      <c r="AK671" s="85"/>
      <c r="AL671" s="83"/>
      <c r="AM671" s="84"/>
      <c r="AN671" s="85"/>
      <c r="AO671" s="60"/>
      <c r="AP671" s="61"/>
      <c r="AQ671" s="77">
        <f t="shared" si="21"/>
        <v>0</v>
      </c>
      <c r="AR671" s="37"/>
      <c r="AS671" s="78">
        <f t="shared" si="22"/>
        <v>0</v>
      </c>
      <c r="AT671" s="37"/>
      <c r="AU671" s="37"/>
      <c r="AV671" s="37"/>
      <c r="AW671" s="37"/>
      <c r="AX671" s="37"/>
    </row>
    <row r="672" spans="1:50" ht="20.100000000000001" customHeight="1" x14ac:dyDescent="0.25">
      <c r="A672" s="37"/>
      <c r="B672" s="58"/>
      <c r="C672" s="37"/>
      <c r="D672" s="97"/>
      <c r="E672" s="98"/>
      <c r="F672" s="101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3"/>
      <c r="T672" s="83"/>
      <c r="U672" s="85"/>
      <c r="V672" s="83"/>
      <c r="W672" s="85"/>
      <c r="X672" s="97"/>
      <c r="Y672" s="100"/>
      <c r="Z672" s="100"/>
      <c r="AA672" s="100"/>
      <c r="AB672" s="100"/>
      <c r="AC672" s="100"/>
      <c r="AD672" s="98"/>
      <c r="AE672" s="83"/>
      <c r="AF672" s="84"/>
      <c r="AG672" s="85"/>
      <c r="AH672" s="83"/>
      <c r="AI672" s="84"/>
      <c r="AJ672" s="84"/>
      <c r="AK672" s="85"/>
      <c r="AL672" s="83"/>
      <c r="AM672" s="84"/>
      <c r="AN672" s="85"/>
      <c r="AO672" s="60"/>
      <c r="AP672" s="61"/>
      <c r="AQ672" s="77">
        <f t="shared" si="21"/>
        <v>0</v>
      </c>
      <c r="AR672" s="37"/>
      <c r="AS672" s="78">
        <f t="shared" si="22"/>
        <v>0</v>
      </c>
      <c r="AT672" s="37"/>
      <c r="AU672" s="37"/>
      <c r="AV672" s="37"/>
      <c r="AW672" s="37"/>
      <c r="AX672" s="37"/>
    </row>
    <row r="673" spans="1:50" ht="20.100000000000001" customHeight="1" x14ac:dyDescent="0.25">
      <c r="A673" s="37"/>
      <c r="B673" s="58"/>
      <c r="C673" s="37"/>
      <c r="D673" s="97"/>
      <c r="E673" s="98"/>
      <c r="F673" s="101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3"/>
      <c r="T673" s="83"/>
      <c r="U673" s="85"/>
      <c r="V673" s="83"/>
      <c r="W673" s="85"/>
      <c r="X673" s="97"/>
      <c r="Y673" s="100"/>
      <c r="Z673" s="100"/>
      <c r="AA673" s="100"/>
      <c r="AB673" s="100"/>
      <c r="AC673" s="100"/>
      <c r="AD673" s="98"/>
      <c r="AE673" s="83"/>
      <c r="AF673" s="84"/>
      <c r="AG673" s="85"/>
      <c r="AH673" s="83"/>
      <c r="AI673" s="84"/>
      <c r="AJ673" s="84"/>
      <c r="AK673" s="85"/>
      <c r="AL673" s="83"/>
      <c r="AM673" s="84"/>
      <c r="AN673" s="85"/>
      <c r="AO673" s="60"/>
      <c r="AP673" s="61"/>
      <c r="AQ673" s="77">
        <f t="shared" si="21"/>
        <v>0</v>
      </c>
      <c r="AR673" s="37"/>
      <c r="AS673" s="78">
        <f t="shared" si="22"/>
        <v>0</v>
      </c>
      <c r="AT673" s="37"/>
      <c r="AU673" s="37"/>
      <c r="AV673" s="37"/>
      <c r="AW673" s="37"/>
      <c r="AX673" s="37"/>
    </row>
    <row r="674" spans="1:50" ht="20.100000000000001" customHeight="1" x14ac:dyDescent="0.25">
      <c r="A674" s="37"/>
      <c r="B674" s="58"/>
      <c r="C674" s="37"/>
      <c r="D674" s="97"/>
      <c r="E674" s="98"/>
      <c r="F674" s="101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3"/>
      <c r="T674" s="83"/>
      <c r="U674" s="85"/>
      <c r="V674" s="83"/>
      <c r="W674" s="85"/>
      <c r="X674" s="97"/>
      <c r="Y674" s="100"/>
      <c r="Z674" s="100"/>
      <c r="AA674" s="100"/>
      <c r="AB674" s="100"/>
      <c r="AC674" s="100"/>
      <c r="AD674" s="98"/>
      <c r="AE674" s="83"/>
      <c r="AF674" s="84"/>
      <c r="AG674" s="85"/>
      <c r="AH674" s="83"/>
      <c r="AI674" s="84"/>
      <c r="AJ674" s="84"/>
      <c r="AK674" s="85"/>
      <c r="AL674" s="83"/>
      <c r="AM674" s="84"/>
      <c r="AN674" s="85"/>
      <c r="AO674" s="60"/>
      <c r="AP674" s="61"/>
      <c r="AQ674" s="77">
        <f t="shared" si="21"/>
        <v>0</v>
      </c>
      <c r="AR674" s="37"/>
      <c r="AS674" s="78">
        <f t="shared" si="22"/>
        <v>0</v>
      </c>
      <c r="AT674" s="37"/>
      <c r="AU674" s="37"/>
      <c r="AV674" s="37"/>
      <c r="AW674" s="37"/>
      <c r="AX674" s="37"/>
    </row>
    <row r="675" spans="1:50" ht="20.100000000000001" customHeight="1" x14ac:dyDescent="0.25">
      <c r="A675" s="37"/>
      <c r="B675" s="58"/>
      <c r="C675" s="37"/>
      <c r="D675" s="97"/>
      <c r="E675" s="98"/>
      <c r="F675" s="101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3"/>
      <c r="T675" s="83"/>
      <c r="U675" s="85"/>
      <c r="V675" s="83"/>
      <c r="W675" s="85"/>
      <c r="X675" s="97"/>
      <c r="Y675" s="100"/>
      <c r="Z675" s="100"/>
      <c r="AA675" s="100"/>
      <c r="AB675" s="100"/>
      <c r="AC675" s="100"/>
      <c r="AD675" s="98"/>
      <c r="AE675" s="83"/>
      <c r="AF675" s="84"/>
      <c r="AG675" s="85"/>
      <c r="AH675" s="83"/>
      <c r="AI675" s="84"/>
      <c r="AJ675" s="84"/>
      <c r="AK675" s="85"/>
      <c r="AL675" s="83"/>
      <c r="AM675" s="84"/>
      <c r="AN675" s="85"/>
      <c r="AO675" s="60"/>
      <c r="AP675" s="61"/>
      <c r="AQ675" s="77">
        <f t="shared" si="21"/>
        <v>0</v>
      </c>
      <c r="AR675" s="37"/>
      <c r="AS675" s="78">
        <f t="shared" si="22"/>
        <v>0</v>
      </c>
      <c r="AT675" s="37"/>
      <c r="AU675" s="37"/>
      <c r="AV675" s="37"/>
      <c r="AW675" s="37"/>
      <c r="AX675" s="37"/>
    </row>
    <row r="676" spans="1:50" ht="20.100000000000001" customHeight="1" x14ac:dyDescent="0.25">
      <c r="A676" s="37"/>
      <c r="B676" s="58"/>
      <c r="C676" s="37"/>
      <c r="D676" s="97"/>
      <c r="E676" s="98"/>
      <c r="F676" s="101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3"/>
      <c r="T676" s="83"/>
      <c r="U676" s="85"/>
      <c r="V676" s="83"/>
      <c r="W676" s="85"/>
      <c r="X676" s="97"/>
      <c r="Y676" s="100"/>
      <c r="Z676" s="100"/>
      <c r="AA676" s="100"/>
      <c r="AB676" s="100"/>
      <c r="AC676" s="100"/>
      <c r="AD676" s="98"/>
      <c r="AE676" s="83"/>
      <c r="AF676" s="84"/>
      <c r="AG676" s="85"/>
      <c r="AH676" s="83"/>
      <c r="AI676" s="84"/>
      <c r="AJ676" s="84"/>
      <c r="AK676" s="85"/>
      <c r="AL676" s="83"/>
      <c r="AM676" s="84"/>
      <c r="AN676" s="85"/>
      <c r="AO676" s="60"/>
      <c r="AP676" s="61"/>
      <c r="AQ676" s="77">
        <f t="shared" si="21"/>
        <v>0</v>
      </c>
      <c r="AR676" s="37"/>
      <c r="AS676" s="78">
        <f t="shared" si="22"/>
        <v>0</v>
      </c>
      <c r="AT676" s="37"/>
      <c r="AU676" s="37"/>
      <c r="AV676" s="37"/>
      <c r="AW676" s="37"/>
      <c r="AX676" s="37"/>
    </row>
    <row r="677" spans="1:50" ht="20.100000000000001" customHeight="1" x14ac:dyDescent="0.25">
      <c r="A677" s="37"/>
      <c r="B677" s="58"/>
      <c r="C677" s="37"/>
      <c r="D677" s="97"/>
      <c r="E677" s="98"/>
      <c r="F677" s="101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3"/>
      <c r="T677" s="83"/>
      <c r="U677" s="85"/>
      <c r="V677" s="83"/>
      <c r="W677" s="85"/>
      <c r="X677" s="97"/>
      <c r="Y677" s="100"/>
      <c r="Z677" s="100"/>
      <c r="AA677" s="100"/>
      <c r="AB677" s="100"/>
      <c r="AC677" s="100"/>
      <c r="AD677" s="98"/>
      <c r="AE677" s="83"/>
      <c r="AF677" s="84"/>
      <c r="AG677" s="85"/>
      <c r="AH677" s="83"/>
      <c r="AI677" s="84"/>
      <c r="AJ677" s="84"/>
      <c r="AK677" s="85"/>
      <c r="AL677" s="83"/>
      <c r="AM677" s="84"/>
      <c r="AN677" s="85"/>
      <c r="AO677" s="60"/>
      <c r="AP677" s="61"/>
      <c r="AQ677" s="77">
        <f t="shared" si="21"/>
        <v>0</v>
      </c>
      <c r="AR677" s="37"/>
      <c r="AS677" s="78">
        <f t="shared" si="22"/>
        <v>0</v>
      </c>
      <c r="AT677" s="37"/>
      <c r="AU677" s="37"/>
      <c r="AV677" s="37"/>
      <c r="AW677" s="37"/>
      <c r="AX677" s="37"/>
    </row>
    <row r="678" spans="1:50" ht="20.100000000000001" customHeight="1" x14ac:dyDescent="0.25">
      <c r="A678" s="37"/>
      <c r="B678" s="58"/>
      <c r="C678" s="37"/>
      <c r="D678" s="97"/>
      <c r="E678" s="98"/>
      <c r="F678" s="101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3"/>
      <c r="T678" s="83"/>
      <c r="U678" s="85"/>
      <c r="V678" s="83"/>
      <c r="W678" s="85"/>
      <c r="X678" s="97"/>
      <c r="Y678" s="100"/>
      <c r="Z678" s="100"/>
      <c r="AA678" s="100"/>
      <c r="AB678" s="100"/>
      <c r="AC678" s="100"/>
      <c r="AD678" s="98"/>
      <c r="AE678" s="83"/>
      <c r="AF678" s="84"/>
      <c r="AG678" s="85"/>
      <c r="AH678" s="83"/>
      <c r="AI678" s="84"/>
      <c r="AJ678" s="84"/>
      <c r="AK678" s="85"/>
      <c r="AL678" s="83"/>
      <c r="AM678" s="84"/>
      <c r="AN678" s="85"/>
      <c r="AO678" s="60"/>
      <c r="AP678" s="61"/>
      <c r="AQ678" s="77">
        <f t="shared" si="21"/>
        <v>0</v>
      </c>
      <c r="AR678" s="37"/>
      <c r="AS678" s="78">
        <f t="shared" si="22"/>
        <v>0</v>
      </c>
      <c r="AT678" s="37"/>
      <c r="AU678" s="37"/>
      <c r="AV678" s="37"/>
      <c r="AW678" s="37"/>
      <c r="AX678" s="37"/>
    </row>
    <row r="679" spans="1:50" ht="20.100000000000001" customHeight="1" x14ac:dyDescent="0.25">
      <c r="A679" s="37"/>
      <c r="B679" s="58"/>
      <c r="C679" s="37"/>
      <c r="D679" s="97"/>
      <c r="E679" s="98"/>
      <c r="F679" s="101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3"/>
      <c r="T679" s="83"/>
      <c r="U679" s="85"/>
      <c r="V679" s="83"/>
      <c r="W679" s="85"/>
      <c r="X679" s="97"/>
      <c r="Y679" s="100"/>
      <c r="Z679" s="100"/>
      <c r="AA679" s="100"/>
      <c r="AB679" s="100"/>
      <c r="AC679" s="100"/>
      <c r="AD679" s="98"/>
      <c r="AE679" s="83"/>
      <c r="AF679" s="84"/>
      <c r="AG679" s="85"/>
      <c r="AH679" s="83"/>
      <c r="AI679" s="84"/>
      <c r="AJ679" s="84"/>
      <c r="AK679" s="85"/>
      <c r="AL679" s="83"/>
      <c r="AM679" s="84"/>
      <c r="AN679" s="85"/>
      <c r="AO679" s="60"/>
      <c r="AP679" s="61"/>
      <c r="AQ679" s="77">
        <f t="shared" si="21"/>
        <v>0</v>
      </c>
      <c r="AR679" s="37"/>
      <c r="AS679" s="78">
        <f t="shared" si="22"/>
        <v>0</v>
      </c>
      <c r="AT679" s="37"/>
      <c r="AU679" s="37"/>
      <c r="AV679" s="37"/>
      <c r="AW679" s="37"/>
      <c r="AX679" s="37"/>
    </row>
    <row r="680" spans="1:50" ht="20.100000000000001" customHeight="1" x14ac:dyDescent="0.25">
      <c r="A680" s="37"/>
      <c r="B680" s="58"/>
      <c r="C680" s="37"/>
      <c r="D680" s="97"/>
      <c r="E680" s="98"/>
      <c r="F680" s="101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3"/>
      <c r="T680" s="83"/>
      <c r="U680" s="85"/>
      <c r="V680" s="83"/>
      <c r="W680" s="85"/>
      <c r="X680" s="97"/>
      <c r="Y680" s="100"/>
      <c r="Z680" s="100"/>
      <c r="AA680" s="100"/>
      <c r="AB680" s="100"/>
      <c r="AC680" s="100"/>
      <c r="AD680" s="98"/>
      <c r="AE680" s="83"/>
      <c r="AF680" s="84"/>
      <c r="AG680" s="85"/>
      <c r="AH680" s="83"/>
      <c r="AI680" s="84"/>
      <c r="AJ680" s="84"/>
      <c r="AK680" s="85"/>
      <c r="AL680" s="83"/>
      <c r="AM680" s="84"/>
      <c r="AN680" s="85"/>
      <c r="AO680" s="60"/>
      <c r="AP680" s="61"/>
      <c r="AQ680" s="77">
        <f t="shared" si="21"/>
        <v>0</v>
      </c>
      <c r="AR680" s="37"/>
      <c r="AS680" s="78">
        <f t="shared" si="22"/>
        <v>0</v>
      </c>
      <c r="AT680" s="37"/>
      <c r="AU680" s="37"/>
      <c r="AV680" s="37"/>
      <c r="AW680" s="37"/>
      <c r="AX680" s="37"/>
    </row>
    <row r="681" spans="1:50" ht="20.100000000000001" customHeight="1" x14ac:dyDescent="0.25">
      <c r="A681" s="37"/>
      <c r="B681" s="58"/>
      <c r="C681" s="37"/>
      <c r="D681" s="97"/>
      <c r="E681" s="98"/>
      <c r="F681" s="101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3"/>
      <c r="T681" s="83"/>
      <c r="U681" s="85"/>
      <c r="V681" s="83"/>
      <c r="W681" s="85"/>
      <c r="X681" s="97"/>
      <c r="Y681" s="100"/>
      <c r="Z681" s="100"/>
      <c r="AA681" s="100"/>
      <c r="AB681" s="100"/>
      <c r="AC681" s="100"/>
      <c r="AD681" s="98"/>
      <c r="AE681" s="83"/>
      <c r="AF681" s="84"/>
      <c r="AG681" s="85"/>
      <c r="AH681" s="83"/>
      <c r="AI681" s="84"/>
      <c r="AJ681" s="84"/>
      <c r="AK681" s="85"/>
      <c r="AL681" s="83"/>
      <c r="AM681" s="84"/>
      <c r="AN681" s="85"/>
      <c r="AO681" s="60"/>
      <c r="AP681" s="61"/>
      <c r="AQ681" s="77">
        <f t="shared" si="21"/>
        <v>0</v>
      </c>
      <c r="AR681" s="37"/>
      <c r="AS681" s="78">
        <f t="shared" si="22"/>
        <v>0</v>
      </c>
      <c r="AT681" s="37"/>
      <c r="AU681" s="37"/>
      <c r="AV681" s="37"/>
      <c r="AW681" s="37"/>
      <c r="AX681" s="37"/>
    </row>
    <row r="682" spans="1:50" ht="20.100000000000001" customHeight="1" x14ac:dyDescent="0.25">
      <c r="A682" s="37"/>
      <c r="B682" s="58"/>
      <c r="C682" s="37"/>
      <c r="D682" s="97"/>
      <c r="E682" s="98"/>
      <c r="F682" s="101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3"/>
      <c r="T682" s="83"/>
      <c r="U682" s="85"/>
      <c r="V682" s="83"/>
      <c r="W682" s="85"/>
      <c r="X682" s="97"/>
      <c r="Y682" s="100"/>
      <c r="Z682" s="100"/>
      <c r="AA682" s="100"/>
      <c r="AB682" s="100"/>
      <c r="AC682" s="100"/>
      <c r="AD682" s="98"/>
      <c r="AE682" s="83"/>
      <c r="AF682" s="84"/>
      <c r="AG682" s="85"/>
      <c r="AH682" s="83"/>
      <c r="AI682" s="84"/>
      <c r="AJ682" s="84"/>
      <c r="AK682" s="85"/>
      <c r="AL682" s="83"/>
      <c r="AM682" s="84"/>
      <c r="AN682" s="85"/>
      <c r="AO682" s="60"/>
      <c r="AP682" s="61"/>
      <c r="AQ682" s="77">
        <f t="shared" si="21"/>
        <v>0</v>
      </c>
      <c r="AR682" s="37"/>
      <c r="AS682" s="78">
        <f t="shared" si="22"/>
        <v>0</v>
      </c>
      <c r="AT682" s="37"/>
      <c r="AU682" s="37"/>
      <c r="AV682" s="37"/>
      <c r="AW682" s="37"/>
      <c r="AX682" s="37"/>
    </row>
    <row r="683" spans="1:50" ht="20.100000000000001" customHeight="1" x14ac:dyDescent="0.25">
      <c r="A683" s="37"/>
      <c r="B683" s="58"/>
      <c r="C683" s="37"/>
      <c r="D683" s="97"/>
      <c r="E683" s="98"/>
      <c r="F683" s="101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3"/>
      <c r="T683" s="83"/>
      <c r="U683" s="85"/>
      <c r="V683" s="83"/>
      <c r="W683" s="85"/>
      <c r="X683" s="97"/>
      <c r="Y683" s="100"/>
      <c r="Z683" s="100"/>
      <c r="AA683" s="100"/>
      <c r="AB683" s="100"/>
      <c r="AC683" s="100"/>
      <c r="AD683" s="98"/>
      <c r="AE683" s="83"/>
      <c r="AF683" s="84"/>
      <c r="AG683" s="85"/>
      <c r="AH683" s="83"/>
      <c r="AI683" s="84"/>
      <c r="AJ683" s="84"/>
      <c r="AK683" s="85"/>
      <c r="AL683" s="83"/>
      <c r="AM683" s="84"/>
      <c r="AN683" s="85"/>
      <c r="AO683" s="60"/>
      <c r="AP683" s="61"/>
      <c r="AQ683" s="77">
        <f t="shared" si="21"/>
        <v>0</v>
      </c>
      <c r="AR683" s="37"/>
      <c r="AS683" s="78">
        <f t="shared" si="22"/>
        <v>0</v>
      </c>
      <c r="AT683" s="37"/>
      <c r="AU683" s="37"/>
      <c r="AV683" s="37"/>
      <c r="AW683" s="37"/>
      <c r="AX683" s="37"/>
    </row>
    <row r="684" spans="1:50" ht="20.100000000000001" customHeight="1" x14ac:dyDescent="0.25">
      <c r="A684" s="37"/>
      <c r="B684" s="58"/>
      <c r="C684" s="37"/>
      <c r="D684" s="97"/>
      <c r="E684" s="98"/>
      <c r="F684" s="101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3"/>
      <c r="T684" s="83"/>
      <c r="U684" s="85"/>
      <c r="V684" s="83"/>
      <c r="W684" s="85"/>
      <c r="X684" s="97"/>
      <c r="Y684" s="100"/>
      <c r="Z684" s="100"/>
      <c r="AA684" s="100"/>
      <c r="AB684" s="100"/>
      <c r="AC684" s="100"/>
      <c r="AD684" s="98"/>
      <c r="AE684" s="83"/>
      <c r="AF684" s="84"/>
      <c r="AG684" s="85"/>
      <c r="AH684" s="83"/>
      <c r="AI684" s="84"/>
      <c r="AJ684" s="84"/>
      <c r="AK684" s="85"/>
      <c r="AL684" s="83"/>
      <c r="AM684" s="84"/>
      <c r="AN684" s="85"/>
      <c r="AO684" s="60"/>
      <c r="AP684" s="61"/>
      <c r="AQ684" s="77">
        <f t="shared" si="21"/>
        <v>0</v>
      </c>
      <c r="AR684" s="37"/>
      <c r="AS684" s="78">
        <f t="shared" si="22"/>
        <v>0</v>
      </c>
      <c r="AT684" s="37"/>
      <c r="AU684" s="37"/>
      <c r="AV684" s="37"/>
      <c r="AW684" s="37"/>
      <c r="AX684" s="37"/>
    </row>
    <row r="685" spans="1:50" ht="20.100000000000001" customHeight="1" x14ac:dyDescent="0.25">
      <c r="A685" s="37"/>
      <c r="B685" s="58"/>
      <c r="C685" s="37"/>
      <c r="D685" s="97"/>
      <c r="E685" s="98"/>
      <c r="F685" s="101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3"/>
      <c r="T685" s="83"/>
      <c r="U685" s="85"/>
      <c r="V685" s="83"/>
      <c r="W685" s="85"/>
      <c r="X685" s="97"/>
      <c r="Y685" s="100"/>
      <c r="Z685" s="100"/>
      <c r="AA685" s="100"/>
      <c r="AB685" s="100"/>
      <c r="AC685" s="100"/>
      <c r="AD685" s="98"/>
      <c r="AE685" s="83"/>
      <c r="AF685" s="84"/>
      <c r="AG685" s="85"/>
      <c r="AH685" s="83"/>
      <c r="AI685" s="84"/>
      <c r="AJ685" s="84"/>
      <c r="AK685" s="85"/>
      <c r="AL685" s="83"/>
      <c r="AM685" s="84"/>
      <c r="AN685" s="85"/>
      <c r="AO685" s="60"/>
      <c r="AP685" s="61"/>
      <c r="AQ685" s="77">
        <f t="shared" si="21"/>
        <v>0</v>
      </c>
      <c r="AR685" s="37"/>
      <c r="AS685" s="78">
        <f t="shared" si="22"/>
        <v>0</v>
      </c>
      <c r="AT685" s="37"/>
      <c r="AU685" s="37"/>
      <c r="AV685" s="37"/>
      <c r="AW685" s="37"/>
      <c r="AX685" s="37"/>
    </row>
    <row r="686" spans="1:50" ht="20.100000000000001" customHeight="1" x14ac:dyDescent="0.25">
      <c r="A686" s="37"/>
      <c r="B686" s="58"/>
      <c r="C686" s="37"/>
      <c r="D686" s="97"/>
      <c r="E686" s="98"/>
      <c r="F686" s="101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3"/>
      <c r="T686" s="83"/>
      <c r="U686" s="85"/>
      <c r="V686" s="83"/>
      <c r="W686" s="85"/>
      <c r="X686" s="97"/>
      <c r="Y686" s="100"/>
      <c r="Z686" s="100"/>
      <c r="AA686" s="100"/>
      <c r="AB686" s="100"/>
      <c r="AC686" s="100"/>
      <c r="AD686" s="98"/>
      <c r="AE686" s="83"/>
      <c r="AF686" s="84"/>
      <c r="AG686" s="85"/>
      <c r="AH686" s="83"/>
      <c r="AI686" s="84"/>
      <c r="AJ686" s="84"/>
      <c r="AK686" s="85"/>
      <c r="AL686" s="83"/>
      <c r="AM686" s="84"/>
      <c r="AN686" s="85"/>
      <c r="AO686" s="60"/>
      <c r="AP686" s="61"/>
      <c r="AQ686" s="77">
        <f t="shared" si="21"/>
        <v>0</v>
      </c>
      <c r="AR686" s="37"/>
      <c r="AS686" s="78">
        <f t="shared" si="22"/>
        <v>0</v>
      </c>
      <c r="AT686" s="37"/>
      <c r="AU686" s="37"/>
      <c r="AV686" s="37"/>
      <c r="AW686" s="37"/>
      <c r="AX686" s="37"/>
    </row>
    <row r="687" spans="1:50" ht="20.100000000000001" customHeight="1" x14ac:dyDescent="0.25">
      <c r="A687" s="37"/>
      <c r="B687" s="58"/>
      <c r="C687" s="37"/>
      <c r="D687" s="97"/>
      <c r="E687" s="98"/>
      <c r="F687" s="101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3"/>
      <c r="T687" s="83"/>
      <c r="U687" s="85"/>
      <c r="V687" s="83"/>
      <c r="W687" s="85"/>
      <c r="X687" s="97"/>
      <c r="Y687" s="100"/>
      <c r="Z687" s="100"/>
      <c r="AA687" s="100"/>
      <c r="AB687" s="100"/>
      <c r="AC687" s="100"/>
      <c r="AD687" s="98"/>
      <c r="AE687" s="83"/>
      <c r="AF687" s="84"/>
      <c r="AG687" s="85"/>
      <c r="AH687" s="83"/>
      <c r="AI687" s="84"/>
      <c r="AJ687" s="84"/>
      <c r="AK687" s="85"/>
      <c r="AL687" s="83"/>
      <c r="AM687" s="84"/>
      <c r="AN687" s="85"/>
      <c r="AO687" s="60"/>
      <c r="AP687" s="61"/>
      <c r="AQ687" s="77">
        <f t="shared" si="21"/>
        <v>0</v>
      </c>
      <c r="AR687" s="37"/>
      <c r="AS687" s="78">
        <f t="shared" si="22"/>
        <v>0</v>
      </c>
      <c r="AT687" s="37"/>
      <c r="AU687" s="37"/>
      <c r="AV687" s="37"/>
      <c r="AW687" s="37"/>
      <c r="AX687" s="37"/>
    </row>
    <row r="688" spans="1:50" ht="20.100000000000001" customHeight="1" x14ac:dyDescent="0.25">
      <c r="A688" s="37"/>
      <c r="B688" s="58"/>
      <c r="C688" s="37"/>
      <c r="D688" s="97"/>
      <c r="E688" s="98"/>
      <c r="F688" s="101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3"/>
      <c r="T688" s="83"/>
      <c r="U688" s="85"/>
      <c r="V688" s="83"/>
      <c r="W688" s="85"/>
      <c r="X688" s="97"/>
      <c r="Y688" s="100"/>
      <c r="Z688" s="100"/>
      <c r="AA688" s="100"/>
      <c r="AB688" s="100"/>
      <c r="AC688" s="100"/>
      <c r="AD688" s="98"/>
      <c r="AE688" s="83"/>
      <c r="AF688" s="84"/>
      <c r="AG688" s="85"/>
      <c r="AH688" s="83"/>
      <c r="AI688" s="84"/>
      <c r="AJ688" s="84"/>
      <c r="AK688" s="85"/>
      <c r="AL688" s="83"/>
      <c r="AM688" s="84"/>
      <c r="AN688" s="85"/>
      <c r="AO688" s="60"/>
      <c r="AP688" s="61"/>
      <c r="AQ688" s="77">
        <f t="shared" si="21"/>
        <v>0</v>
      </c>
      <c r="AR688" s="37"/>
      <c r="AS688" s="78">
        <f t="shared" si="22"/>
        <v>0</v>
      </c>
      <c r="AT688" s="37"/>
      <c r="AU688" s="37"/>
      <c r="AV688" s="37"/>
      <c r="AW688" s="37"/>
      <c r="AX688" s="37"/>
    </row>
    <row r="689" spans="1:50" ht="20.100000000000001" customHeight="1" x14ac:dyDescent="0.25">
      <c r="A689" s="37"/>
      <c r="B689" s="58"/>
      <c r="C689" s="37"/>
      <c r="D689" s="97"/>
      <c r="E689" s="98"/>
      <c r="F689" s="101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3"/>
      <c r="T689" s="83"/>
      <c r="U689" s="85"/>
      <c r="V689" s="83"/>
      <c r="W689" s="85"/>
      <c r="X689" s="97"/>
      <c r="Y689" s="100"/>
      <c r="Z689" s="100"/>
      <c r="AA689" s="100"/>
      <c r="AB689" s="100"/>
      <c r="AC689" s="100"/>
      <c r="AD689" s="98"/>
      <c r="AE689" s="83"/>
      <c r="AF689" s="84"/>
      <c r="AG689" s="85"/>
      <c r="AH689" s="83"/>
      <c r="AI689" s="84"/>
      <c r="AJ689" s="84"/>
      <c r="AK689" s="85"/>
      <c r="AL689" s="83"/>
      <c r="AM689" s="84"/>
      <c r="AN689" s="85"/>
      <c r="AO689" s="60"/>
      <c r="AP689" s="61"/>
      <c r="AQ689" s="77">
        <f t="shared" si="21"/>
        <v>0</v>
      </c>
      <c r="AR689" s="37"/>
      <c r="AS689" s="78">
        <f t="shared" si="22"/>
        <v>0</v>
      </c>
      <c r="AT689" s="37"/>
      <c r="AU689" s="37"/>
      <c r="AV689" s="37"/>
      <c r="AW689" s="37"/>
      <c r="AX689" s="37"/>
    </row>
    <row r="690" spans="1:50" ht="20.100000000000001" customHeight="1" x14ac:dyDescent="0.25">
      <c r="A690" s="37"/>
      <c r="B690" s="58"/>
      <c r="C690" s="37"/>
      <c r="D690" s="97"/>
      <c r="E690" s="98"/>
      <c r="F690" s="101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3"/>
      <c r="T690" s="83"/>
      <c r="U690" s="85"/>
      <c r="V690" s="83"/>
      <c r="W690" s="85"/>
      <c r="X690" s="97"/>
      <c r="Y690" s="100"/>
      <c r="Z690" s="100"/>
      <c r="AA690" s="100"/>
      <c r="AB690" s="100"/>
      <c r="AC690" s="100"/>
      <c r="AD690" s="98"/>
      <c r="AE690" s="83"/>
      <c r="AF690" s="84"/>
      <c r="AG690" s="85"/>
      <c r="AH690" s="83"/>
      <c r="AI690" s="84"/>
      <c r="AJ690" s="84"/>
      <c r="AK690" s="85"/>
      <c r="AL690" s="83"/>
      <c r="AM690" s="84"/>
      <c r="AN690" s="85"/>
      <c r="AO690" s="60"/>
      <c r="AP690" s="61"/>
      <c r="AQ690" s="77">
        <f t="shared" si="21"/>
        <v>0</v>
      </c>
      <c r="AR690" s="37"/>
      <c r="AS690" s="78">
        <f t="shared" si="22"/>
        <v>0</v>
      </c>
      <c r="AT690" s="37"/>
      <c r="AU690" s="37"/>
      <c r="AV690" s="37"/>
      <c r="AW690" s="37"/>
      <c r="AX690" s="37"/>
    </row>
    <row r="691" spans="1:50" ht="20.100000000000001" customHeight="1" x14ac:dyDescent="0.25">
      <c r="A691" s="37"/>
      <c r="B691" s="58"/>
      <c r="C691" s="37"/>
      <c r="D691" s="97"/>
      <c r="E691" s="98"/>
      <c r="F691" s="101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3"/>
      <c r="T691" s="83"/>
      <c r="U691" s="85"/>
      <c r="V691" s="83"/>
      <c r="W691" s="85"/>
      <c r="X691" s="97"/>
      <c r="Y691" s="100"/>
      <c r="Z691" s="100"/>
      <c r="AA691" s="100"/>
      <c r="AB691" s="100"/>
      <c r="AC691" s="100"/>
      <c r="AD691" s="98"/>
      <c r="AE691" s="83"/>
      <c r="AF691" s="84"/>
      <c r="AG691" s="85"/>
      <c r="AH691" s="83"/>
      <c r="AI691" s="84"/>
      <c r="AJ691" s="84"/>
      <c r="AK691" s="85"/>
      <c r="AL691" s="83"/>
      <c r="AM691" s="84"/>
      <c r="AN691" s="85"/>
      <c r="AO691" s="60"/>
      <c r="AP691" s="61"/>
      <c r="AQ691" s="77">
        <f t="shared" si="21"/>
        <v>0</v>
      </c>
      <c r="AR691" s="37"/>
      <c r="AS691" s="78">
        <f t="shared" si="22"/>
        <v>0</v>
      </c>
      <c r="AT691" s="37"/>
      <c r="AU691" s="37"/>
      <c r="AV691" s="37"/>
      <c r="AW691" s="37"/>
      <c r="AX691" s="37"/>
    </row>
    <row r="692" spans="1:50" ht="20.100000000000001" customHeight="1" x14ac:dyDescent="0.25">
      <c r="A692" s="37"/>
      <c r="B692" s="58"/>
      <c r="C692" s="37"/>
      <c r="D692" s="97"/>
      <c r="E692" s="98"/>
      <c r="F692" s="101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3"/>
      <c r="T692" s="83"/>
      <c r="U692" s="85"/>
      <c r="V692" s="83"/>
      <c r="W692" s="85"/>
      <c r="X692" s="97"/>
      <c r="Y692" s="100"/>
      <c r="Z692" s="100"/>
      <c r="AA692" s="100"/>
      <c r="AB692" s="100"/>
      <c r="AC692" s="100"/>
      <c r="AD692" s="98"/>
      <c r="AE692" s="83"/>
      <c r="AF692" s="84"/>
      <c r="AG692" s="85"/>
      <c r="AH692" s="83"/>
      <c r="AI692" s="84"/>
      <c r="AJ692" s="84"/>
      <c r="AK692" s="85"/>
      <c r="AL692" s="83"/>
      <c r="AM692" s="84"/>
      <c r="AN692" s="85"/>
      <c r="AO692" s="60"/>
      <c r="AP692" s="61"/>
      <c r="AQ692" s="77">
        <f t="shared" si="21"/>
        <v>0</v>
      </c>
      <c r="AR692" s="37"/>
      <c r="AS692" s="78">
        <f t="shared" si="22"/>
        <v>0</v>
      </c>
      <c r="AT692" s="37"/>
      <c r="AU692" s="37"/>
      <c r="AV692" s="37"/>
      <c r="AW692" s="37"/>
      <c r="AX692" s="37"/>
    </row>
    <row r="693" spans="1:50" ht="20.100000000000001" customHeight="1" x14ac:dyDescent="0.25">
      <c r="A693" s="37"/>
      <c r="B693" s="58"/>
      <c r="C693" s="37"/>
      <c r="D693" s="97"/>
      <c r="E693" s="98"/>
      <c r="F693" s="101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3"/>
      <c r="T693" s="83"/>
      <c r="U693" s="85"/>
      <c r="V693" s="83"/>
      <c r="W693" s="85"/>
      <c r="X693" s="97"/>
      <c r="Y693" s="100"/>
      <c r="Z693" s="100"/>
      <c r="AA693" s="100"/>
      <c r="AB693" s="100"/>
      <c r="AC693" s="100"/>
      <c r="AD693" s="98"/>
      <c r="AE693" s="83"/>
      <c r="AF693" s="84"/>
      <c r="AG693" s="85"/>
      <c r="AH693" s="83"/>
      <c r="AI693" s="84"/>
      <c r="AJ693" s="84"/>
      <c r="AK693" s="85"/>
      <c r="AL693" s="83"/>
      <c r="AM693" s="84"/>
      <c r="AN693" s="85"/>
      <c r="AO693" s="60"/>
      <c r="AP693" s="61"/>
      <c r="AQ693" s="77">
        <f t="shared" si="21"/>
        <v>0</v>
      </c>
      <c r="AR693" s="37"/>
      <c r="AS693" s="78">
        <f t="shared" si="22"/>
        <v>0</v>
      </c>
      <c r="AT693" s="37"/>
      <c r="AU693" s="37"/>
      <c r="AV693" s="37"/>
      <c r="AW693" s="37"/>
      <c r="AX693" s="37"/>
    </row>
    <row r="694" spans="1:50" ht="20.100000000000001" customHeight="1" x14ac:dyDescent="0.25">
      <c r="A694" s="37"/>
      <c r="B694" s="58"/>
      <c r="C694" s="37"/>
      <c r="D694" s="97"/>
      <c r="E694" s="98"/>
      <c r="F694" s="101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3"/>
      <c r="T694" s="83"/>
      <c r="U694" s="85"/>
      <c r="V694" s="83"/>
      <c r="W694" s="85"/>
      <c r="X694" s="97"/>
      <c r="Y694" s="100"/>
      <c r="Z694" s="100"/>
      <c r="AA694" s="100"/>
      <c r="AB694" s="100"/>
      <c r="AC694" s="100"/>
      <c r="AD694" s="98"/>
      <c r="AE694" s="83"/>
      <c r="AF694" s="84"/>
      <c r="AG694" s="85"/>
      <c r="AH694" s="83"/>
      <c r="AI694" s="84"/>
      <c r="AJ694" s="84"/>
      <c r="AK694" s="85"/>
      <c r="AL694" s="83"/>
      <c r="AM694" s="84"/>
      <c r="AN694" s="85"/>
      <c r="AO694" s="60"/>
      <c r="AP694" s="61"/>
      <c r="AQ694" s="77">
        <f t="shared" si="21"/>
        <v>0</v>
      </c>
      <c r="AR694" s="37"/>
      <c r="AS694" s="78">
        <f t="shared" si="22"/>
        <v>0</v>
      </c>
      <c r="AT694" s="37"/>
      <c r="AU694" s="37"/>
      <c r="AV694" s="37"/>
      <c r="AW694" s="37"/>
      <c r="AX694" s="37"/>
    </row>
    <row r="695" spans="1:50" ht="20.100000000000001" customHeight="1" x14ac:dyDescent="0.25">
      <c r="A695" s="37"/>
      <c r="B695" s="58"/>
      <c r="C695" s="37"/>
      <c r="D695" s="97"/>
      <c r="E695" s="98"/>
      <c r="F695" s="101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3"/>
      <c r="T695" s="83"/>
      <c r="U695" s="85"/>
      <c r="V695" s="83"/>
      <c r="W695" s="85"/>
      <c r="X695" s="97"/>
      <c r="Y695" s="100"/>
      <c r="Z695" s="100"/>
      <c r="AA695" s="100"/>
      <c r="AB695" s="100"/>
      <c r="AC695" s="100"/>
      <c r="AD695" s="98"/>
      <c r="AE695" s="83"/>
      <c r="AF695" s="84"/>
      <c r="AG695" s="85"/>
      <c r="AH695" s="83"/>
      <c r="AI695" s="84"/>
      <c r="AJ695" s="84"/>
      <c r="AK695" s="85"/>
      <c r="AL695" s="83"/>
      <c r="AM695" s="84"/>
      <c r="AN695" s="85"/>
      <c r="AO695" s="60"/>
      <c r="AP695" s="61"/>
      <c r="AQ695" s="77">
        <f t="shared" si="21"/>
        <v>0</v>
      </c>
      <c r="AR695" s="37"/>
      <c r="AS695" s="78">
        <f t="shared" si="22"/>
        <v>0</v>
      </c>
      <c r="AT695" s="37"/>
      <c r="AU695" s="37"/>
      <c r="AV695" s="37"/>
      <c r="AW695" s="37"/>
      <c r="AX695" s="37"/>
    </row>
    <row r="696" spans="1:50" ht="20.100000000000001" customHeight="1" x14ac:dyDescent="0.25">
      <c r="A696" s="37"/>
      <c r="B696" s="58"/>
      <c r="C696" s="37"/>
      <c r="D696" s="97"/>
      <c r="E696" s="98"/>
      <c r="F696" s="101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3"/>
      <c r="T696" s="83"/>
      <c r="U696" s="85"/>
      <c r="V696" s="83"/>
      <c r="W696" s="85"/>
      <c r="X696" s="97"/>
      <c r="Y696" s="100"/>
      <c r="Z696" s="100"/>
      <c r="AA696" s="100"/>
      <c r="AB696" s="100"/>
      <c r="AC696" s="100"/>
      <c r="AD696" s="98"/>
      <c r="AE696" s="83"/>
      <c r="AF696" s="84"/>
      <c r="AG696" s="85"/>
      <c r="AH696" s="83"/>
      <c r="AI696" s="84"/>
      <c r="AJ696" s="84"/>
      <c r="AK696" s="85"/>
      <c r="AL696" s="83"/>
      <c r="AM696" s="84"/>
      <c r="AN696" s="85"/>
      <c r="AO696" s="60"/>
      <c r="AP696" s="61"/>
      <c r="AQ696" s="77">
        <f t="shared" si="21"/>
        <v>0</v>
      </c>
      <c r="AR696" s="37"/>
      <c r="AS696" s="78">
        <f t="shared" si="22"/>
        <v>0</v>
      </c>
      <c r="AT696" s="37"/>
      <c r="AU696" s="37"/>
      <c r="AV696" s="37"/>
      <c r="AW696" s="37"/>
      <c r="AX696" s="37"/>
    </row>
    <row r="697" spans="1:50" ht="20.100000000000001" customHeight="1" x14ac:dyDescent="0.25">
      <c r="A697" s="37"/>
      <c r="B697" s="58"/>
      <c r="C697" s="37"/>
      <c r="D697" s="97"/>
      <c r="E697" s="98"/>
      <c r="F697" s="101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3"/>
      <c r="T697" s="83"/>
      <c r="U697" s="85"/>
      <c r="V697" s="83"/>
      <c r="W697" s="85"/>
      <c r="X697" s="97"/>
      <c r="Y697" s="100"/>
      <c r="Z697" s="100"/>
      <c r="AA697" s="100"/>
      <c r="AB697" s="100"/>
      <c r="AC697" s="100"/>
      <c r="AD697" s="98"/>
      <c r="AE697" s="83"/>
      <c r="AF697" s="84"/>
      <c r="AG697" s="85"/>
      <c r="AH697" s="83"/>
      <c r="AI697" s="84"/>
      <c r="AJ697" s="84"/>
      <c r="AK697" s="85"/>
      <c r="AL697" s="83"/>
      <c r="AM697" s="84"/>
      <c r="AN697" s="85"/>
      <c r="AO697" s="60"/>
      <c r="AP697" s="61"/>
      <c r="AQ697" s="77">
        <f t="shared" si="21"/>
        <v>0</v>
      </c>
      <c r="AR697" s="37"/>
      <c r="AS697" s="78">
        <f t="shared" si="22"/>
        <v>0</v>
      </c>
      <c r="AT697" s="37"/>
      <c r="AU697" s="37"/>
      <c r="AV697" s="37"/>
      <c r="AW697" s="37"/>
      <c r="AX697" s="37"/>
    </row>
    <row r="698" spans="1:50" ht="20.100000000000001" customHeight="1" x14ac:dyDescent="0.25">
      <c r="A698" s="37"/>
      <c r="B698" s="58"/>
      <c r="C698" s="37"/>
      <c r="D698" s="97"/>
      <c r="E698" s="98"/>
      <c r="F698" s="101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3"/>
      <c r="T698" s="83"/>
      <c r="U698" s="85"/>
      <c r="V698" s="83"/>
      <c r="W698" s="85"/>
      <c r="X698" s="97"/>
      <c r="Y698" s="100"/>
      <c r="Z698" s="100"/>
      <c r="AA698" s="100"/>
      <c r="AB698" s="100"/>
      <c r="AC698" s="100"/>
      <c r="AD698" s="98"/>
      <c r="AE698" s="83"/>
      <c r="AF698" s="84"/>
      <c r="AG698" s="85"/>
      <c r="AH698" s="83"/>
      <c r="AI698" s="84"/>
      <c r="AJ698" s="84"/>
      <c r="AK698" s="85"/>
      <c r="AL698" s="83"/>
      <c r="AM698" s="84"/>
      <c r="AN698" s="85"/>
      <c r="AO698" s="60"/>
      <c r="AP698" s="61"/>
      <c r="AQ698" s="77">
        <f t="shared" si="21"/>
        <v>0</v>
      </c>
      <c r="AR698" s="37"/>
      <c r="AS698" s="78">
        <f t="shared" si="22"/>
        <v>0</v>
      </c>
      <c r="AT698" s="37"/>
      <c r="AU698" s="37"/>
      <c r="AV698" s="37"/>
      <c r="AW698" s="37"/>
      <c r="AX698" s="37"/>
    </row>
    <row r="699" spans="1:50" ht="20.100000000000001" customHeight="1" x14ac:dyDescent="0.25">
      <c r="A699" s="37"/>
      <c r="B699" s="58"/>
      <c r="C699" s="37"/>
      <c r="D699" s="97"/>
      <c r="E699" s="98"/>
      <c r="F699" s="101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3"/>
      <c r="T699" s="83"/>
      <c r="U699" s="85"/>
      <c r="V699" s="83"/>
      <c r="W699" s="85"/>
      <c r="X699" s="97"/>
      <c r="Y699" s="100"/>
      <c r="Z699" s="100"/>
      <c r="AA699" s="100"/>
      <c r="AB699" s="100"/>
      <c r="AC699" s="100"/>
      <c r="AD699" s="98"/>
      <c r="AE699" s="83"/>
      <c r="AF699" s="84"/>
      <c r="AG699" s="85"/>
      <c r="AH699" s="83"/>
      <c r="AI699" s="84"/>
      <c r="AJ699" s="84"/>
      <c r="AK699" s="85"/>
      <c r="AL699" s="83"/>
      <c r="AM699" s="84"/>
      <c r="AN699" s="85"/>
      <c r="AO699" s="60"/>
      <c r="AP699" s="61"/>
      <c r="AQ699" s="77">
        <f t="shared" si="21"/>
        <v>0</v>
      </c>
      <c r="AR699" s="37"/>
      <c r="AS699" s="78">
        <f t="shared" si="22"/>
        <v>0</v>
      </c>
      <c r="AT699" s="37"/>
      <c r="AU699" s="37"/>
      <c r="AV699" s="37"/>
      <c r="AW699" s="37"/>
      <c r="AX699" s="37"/>
    </row>
    <row r="700" spans="1:50" ht="20.100000000000001" customHeight="1" x14ac:dyDescent="0.25">
      <c r="A700" s="37"/>
      <c r="B700" s="58"/>
      <c r="C700" s="37"/>
      <c r="D700" s="97"/>
      <c r="E700" s="98"/>
      <c r="F700" s="101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3"/>
      <c r="T700" s="83"/>
      <c r="U700" s="85"/>
      <c r="V700" s="83"/>
      <c r="W700" s="85"/>
      <c r="X700" s="97"/>
      <c r="Y700" s="100"/>
      <c r="Z700" s="100"/>
      <c r="AA700" s="100"/>
      <c r="AB700" s="100"/>
      <c r="AC700" s="100"/>
      <c r="AD700" s="98"/>
      <c r="AE700" s="83"/>
      <c r="AF700" s="84"/>
      <c r="AG700" s="85"/>
      <c r="AH700" s="83"/>
      <c r="AI700" s="84"/>
      <c r="AJ700" s="84"/>
      <c r="AK700" s="85"/>
      <c r="AL700" s="83"/>
      <c r="AM700" s="84"/>
      <c r="AN700" s="85"/>
      <c r="AO700" s="60"/>
      <c r="AP700" s="61"/>
      <c r="AQ700" s="77">
        <f t="shared" si="21"/>
        <v>0</v>
      </c>
      <c r="AR700" s="37"/>
      <c r="AS700" s="78">
        <f t="shared" si="22"/>
        <v>0</v>
      </c>
      <c r="AT700" s="37"/>
      <c r="AU700" s="37"/>
      <c r="AV700" s="37"/>
      <c r="AW700" s="37"/>
      <c r="AX700" s="37"/>
    </row>
    <row r="701" spans="1:50" ht="20.100000000000001" customHeight="1" x14ac:dyDescent="0.25">
      <c r="A701" s="37"/>
      <c r="B701" s="58"/>
      <c r="C701" s="37"/>
      <c r="D701" s="97"/>
      <c r="E701" s="98"/>
      <c r="F701" s="101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3"/>
      <c r="T701" s="83"/>
      <c r="U701" s="85"/>
      <c r="V701" s="83"/>
      <c r="W701" s="85"/>
      <c r="X701" s="97"/>
      <c r="Y701" s="100"/>
      <c r="Z701" s="100"/>
      <c r="AA701" s="100"/>
      <c r="AB701" s="100"/>
      <c r="AC701" s="100"/>
      <c r="AD701" s="98"/>
      <c r="AE701" s="83"/>
      <c r="AF701" s="84"/>
      <c r="AG701" s="85"/>
      <c r="AH701" s="83"/>
      <c r="AI701" s="84"/>
      <c r="AJ701" s="84"/>
      <c r="AK701" s="85"/>
      <c r="AL701" s="83"/>
      <c r="AM701" s="84"/>
      <c r="AN701" s="85"/>
      <c r="AO701" s="60"/>
      <c r="AP701" s="61"/>
      <c r="AQ701" s="77">
        <f t="shared" si="21"/>
        <v>0</v>
      </c>
      <c r="AR701" s="37"/>
      <c r="AS701" s="78">
        <f t="shared" si="22"/>
        <v>0</v>
      </c>
      <c r="AT701" s="37"/>
      <c r="AU701" s="37"/>
      <c r="AV701" s="37"/>
      <c r="AW701" s="37"/>
      <c r="AX701" s="37"/>
    </row>
    <row r="702" spans="1:50" ht="20.100000000000001" customHeight="1" x14ac:dyDescent="0.25">
      <c r="A702" s="37"/>
      <c r="B702" s="58"/>
      <c r="C702" s="37"/>
      <c r="D702" s="97"/>
      <c r="E702" s="98"/>
      <c r="F702" s="101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3"/>
      <c r="T702" s="83"/>
      <c r="U702" s="85"/>
      <c r="V702" s="83"/>
      <c r="W702" s="85"/>
      <c r="X702" s="97"/>
      <c r="Y702" s="100"/>
      <c r="Z702" s="100"/>
      <c r="AA702" s="100"/>
      <c r="AB702" s="100"/>
      <c r="AC702" s="100"/>
      <c r="AD702" s="98"/>
      <c r="AE702" s="83"/>
      <c r="AF702" s="84"/>
      <c r="AG702" s="85"/>
      <c r="AH702" s="83"/>
      <c r="AI702" s="84"/>
      <c r="AJ702" s="84"/>
      <c r="AK702" s="85"/>
      <c r="AL702" s="83"/>
      <c r="AM702" s="84"/>
      <c r="AN702" s="85"/>
      <c r="AO702" s="60"/>
      <c r="AP702" s="61"/>
      <c r="AQ702" s="77">
        <f t="shared" si="21"/>
        <v>0</v>
      </c>
      <c r="AR702" s="37"/>
      <c r="AS702" s="78">
        <f t="shared" si="22"/>
        <v>0</v>
      </c>
      <c r="AT702" s="37"/>
      <c r="AU702" s="37"/>
      <c r="AV702" s="37"/>
      <c r="AW702" s="37"/>
      <c r="AX702" s="37"/>
    </row>
    <row r="703" spans="1:50" ht="20.100000000000001" customHeight="1" x14ac:dyDescent="0.25">
      <c r="A703" s="37"/>
      <c r="B703" s="58"/>
      <c r="C703" s="37"/>
      <c r="D703" s="97"/>
      <c r="E703" s="98"/>
      <c r="F703" s="101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3"/>
      <c r="T703" s="83"/>
      <c r="U703" s="85"/>
      <c r="V703" s="83"/>
      <c r="W703" s="85"/>
      <c r="X703" s="97"/>
      <c r="Y703" s="100"/>
      <c r="Z703" s="100"/>
      <c r="AA703" s="100"/>
      <c r="AB703" s="100"/>
      <c r="AC703" s="100"/>
      <c r="AD703" s="98"/>
      <c r="AE703" s="83"/>
      <c r="AF703" s="84"/>
      <c r="AG703" s="85"/>
      <c r="AH703" s="83"/>
      <c r="AI703" s="84"/>
      <c r="AJ703" s="84"/>
      <c r="AK703" s="85"/>
      <c r="AL703" s="83"/>
      <c r="AM703" s="84"/>
      <c r="AN703" s="85"/>
      <c r="AO703" s="60"/>
      <c r="AP703" s="61"/>
      <c r="AQ703" s="77">
        <f t="shared" si="21"/>
        <v>0</v>
      </c>
      <c r="AR703" s="37"/>
      <c r="AS703" s="78">
        <f t="shared" si="22"/>
        <v>0</v>
      </c>
      <c r="AT703" s="37"/>
      <c r="AU703" s="37"/>
      <c r="AV703" s="37"/>
      <c r="AW703" s="37"/>
      <c r="AX703" s="37"/>
    </row>
    <row r="704" spans="1:50" ht="20.100000000000001" customHeight="1" x14ac:dyDescent="0.25">
      <c r="A704" s="37"/>
      <c r="B704" s="58"/>
      <c r="C704" s="37"/>
      <c r="D704" s="97"/>
      <c r="E704" s="98"/>
      <c r="F704" s="101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3"/>
      <c r="T704" s="83"/>
      <c r="U704" s="85"/>
      <c r="V704" s="83"/>
      <c r="W704" s="85"/>
      <c r="X704" s="97"/>
      <c r="Y704" s="100"/>
      <c r="Z704" s="100"/>
      <c r="AA704" s="100"/>
      <c r="AB704" s="100"/>
      <c r="AC704" s="100"/>
      <c r="AD704" s="98"/>
      <c r="AE704" s="83"/>
      <c r="AF704" s="84"/>
      <c r="AG704" s="85"/>
      <c r="AH704" s="83"/>
      <c r="AI704" s="84"/>
      <c r="AJ704" s="84"/>
      <c r="AK704" s="85"/>
      <c r="AL704" s="83"/>
      <c r="AM704" s="84"/>
      <c r="AN704" s="85"/>
      <c r="AO704" s="60"/>
      <c r="AP704" s="61"/>
      <c r="AQ704" s="77">
        <f t="shared" si="21"/>
        <v>0</v>
      </c>
      <c r="AR704" s="37"/>
      <c r="AS704" s="78">
        <f t="shared" si="22"/>
        <v>0</v>
      </c>
      <c r="AT704" s="37"/>
      <c r="AU704" s="37"/>
      <c r="AV704" s="37"/>
      <c r="AW704" s="37"/>
      <c r="AX704" s="37"/>
    </row>
    <row r="705" spans="1:50" ht="20.100000000000001" customHeight="1" x14ac:dyDescent="0.25">
      <c r="A705" s="37"/>
      <c r="B705" s="58"/>
      <c r="C705" s="37"/>
      <c r="D705" s="97"/>
      <c r="E705" s="98"/>
      <c r="F705" s="101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3"/>
      <c r="T705" s="83"/>
      <c r="U705" s="85"/>
      <c r="V705" s="83"/>
      <c r="W705" s="85"/>
      <c r="X705" s="97"/>
      <c r="Y705" s="100"/>
      <c r="Z705" s="100"/>
      <c r="AA705" s="100"/>
      <c r="AB705" s="100"/>
      <c r="AC705" s="100"/>
      <c r="AD705" s="98"/>
      <c r="AE705" s="83"/>
      <c r="AF705" s="84"/>
      <c r="AG705" s="85"/>
      <c r="AH705" s="83"/>
      <c r="AI705" s="84"/>
      <c r="AJ705" s="84"/>
      <c r="AK705" s="85"/>
      <c r="AL705" s="83"/>
      <c r="AM705" s="84"/>
      <c r="AN705" s="85"/>
      <c r="AO705" s="60"/>
      <c r="AP705" s="61"/>
      <c r="AQ705" s="77">
        <f t="shared" si="21"/>
        <v>0</v>
      </c>
      <c r="AR705" s="37"/>
      <c r="AS705" s="78">
        <f t="shared" si="22"/>
        <v>0</v>
      </c>
      <c r="AT705" s="37"/>
      <c r="AU705" s="37"/>
      <c r="AV705" s="37"/>
      <c r="AW705" s="37"/>
      <c r="AX705" s="37"/>
    </row>
    <row r="706" spans="1:50" ht="20.100000000000001" customHeight="1" x14ac:dyDescent="0.25">
      <c r="A706" s="37"/>
      <c r="B706" s="58"/>
      <c r="C706" s="37"/>
      <c r="D706" s="97"/>
      <c r="E706" s="98"/>
      <c r="F706" s="101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3"/>
      <c r="T706" s="83"/>
      <c r="U706" s="85"/>
      <c r="V706" s="83"/>
      <c r="W706" s="85"/>
      <c r="X706" s="97"/>
      <c r="Y706" s="100"/>
      <c r="Z706" s="100"/>
      <c r="AA706" s="100"/>
      <c r="AB706" s="100"/>
      <c r="AC706" s="100"/>
      <c r="AD706" s="98"/>
      <c r="AE706" s="83"/>
      <c r="AF706" s="84"/>
      <c r="AG706" s="85"/>
      <c r="AH706" s="83"/>
      <c r="AI706" s="84"/>
      <c r="AJ706" s="84"/>
      <c r="AK706" s="85"/>
      <c r="AL706" s="83"/>
      <c r="AM706" s="84"/>
      <c r="AN706" s="85"/>
      <c r="AO706" s="60"/>
      <c r="AP706" s="61"/>
      <c r="AQ706" s="77">
        <f t="shared" si="21"/>
        <v>0</v>
      </c>
      <c r="AR706" s="37"/>
      <c r="AS706" s="78">
        <f t="shared" si="22"/>
        <v>0</v>
      </c>
      <c r="AT706" s="37"/>
      <c r="AU706" s="37"/>
      <c r="AV706" s="37"/>
      <c r="AW706" s="37"/>
      <c r="AX706" s="37"/>
    </row>
    <row r="707" spans="1:50" ht="20.100000000000001" customHeight="1" x14ac:dyDescent="0.25">
      <c r="A707" s="37"/>
      <c r="B707" s="58"/>
      <c r="C707" s="37"/>
      <c r="D707" s="97"/>
      <c r="E707" s="98"/>
      <c r="F707" s="101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3"/>
      <c r="T707" s="83"/>
      <c r="U707" s="85"/>
      <c r="V707" s="83"/>
      <c r="W707" s="85"/>
      <c r="X707" s="97"/>
      <c r="Y707" s="100"/>
      <c r="Z707" s="100"/>
      <c r="AA707" s="100"/>
      <c r="AB707" s="100"/>
      <c r="AC707" s="100"/>
      <c r="AD707" s="98"/>
      <c r="AE707" s="83"/>
      <c r="AF707" s="84"/>
      <c r="AG707" s="85"/>
      <c r="AH707" s="83"/>
      <c r="AI707" s="84"/>
      <c r="AJ707" s="84"/>
      <c r="AK707" s="85"/>
      <c r="AL707" s="83"/>
      <c r="AM707" s="84"/>
      <c r="AN707" s="85"/>
      <c r="AO707" s="60"/>
      <c r="AP707" s="61"/>
      <c r="AQ707" s="77">
        <f t="shared" si="21"/>
        <v>0</v>
      </c>
      <c r="AR707" s="37"/>
      <c r="AS707" s="78">
        <f t="shared" si="22"/>
        <v>0</v>
      </c>
      <c r="AT707" s="37"/>
      <c r="AU707" s="37"/>
      <c r="AV707" s="37"/>
      <c r="AW707" s="37"/>
      <c r="AX707" s="37"/>
    </row>
    <row r="708" spans="1:50" ht="20.100000000000001" customHeight="1" x14ac:dyDescent="0.25">
      <c r="A708" s="37"/>
      <c r="B708" s="58"/>
      <c r="C708" s="37"/>
      <c r="D708" s="97"/>
      <c r="E708" s="98"/>
      <c r="F708" s="101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3"/>
      <c r="T708" s="83"/>
      <c r="U708" s="85"/>
      <c r="V708" s="83"/>
      <c r="W708" s="85"/>
      <c r="X708" s="97"/>
      <c r="Y708" s="100"/>
      <c r="Z708" s="100"/>
      <c r="AA708" s="100"/>
      <c r="AB708" s="100"/>
      <c r="AC708" s="100"/>
      <c r="AD708" s="98"/>
      <c r="AE708" s="83"/>
      <c r="AF708" s="84"/>
      <c r="AG708" s="85"/>
      <c r="AH708" s="83"/>
      <c r="AI708" s="84"/>
      <c r="AJ708" s="84"/>
      <c r="AK708" s="85"/>
      <c r="AL708" s="83"/>
      <c r="AM708" s="84"/>
      <c r="AN708" s="85"/>
      <c r="AO708" s="60"/>
      <c r="AP708" s="61"/>
      <c r="AQ708" s="77">
        <f t="shared" si="21"/>
        <v>0</v>
      </c>
      <c r="AR708" s="37"/>
      <c r="AS708" s="78">
        <f t="shared" si="22"/>
        <v>0</v>
      </c>
      <c r="AT708" s="37"/>
      <c r="AU708" s="37"/>
      <c r="AV708" s="37"/>
      <c r="AW708" s="37"/>
      <c r="AX708" s="37"/>
    </row>
    <row r="709" spans="1:50" ht="20.100000000000001" customHeight="1" x14ac:dyDescent="0.25">
      <c r="A709" s="37"/>
      <c r="B709" s="58"/>
      <c r="C709" s="37"/>
      <c r="D709" s="97"/>
      <c r="E709" s="98"/>
      <c r="F709" s="101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3"/>
      <c r="T709" s="83"/>
      <c r="U709" s="85"/>
      <c r="V709" s="83"/>
      <c r="W709" s="85"/>
      <c r="X709" s="97"/>
      <c r="Y709" s="100"/>
      <c r="Z709" s="100"/>
      <c r="AA709" s="100"/>
      <c r="AB709" s="100"/>
      <c r="AC709" s="100"/>
      <c r="AD709" s="98"/>
      <c r="AE709" s="83"/>
      <c r="AF709" s="84"/>
      <c r="AG709" s="85"/>
      <c r="AH709" s="83"/>
      <c r="AI709" s="84"/>
      <c r="AJ709" s="84"/>
      <c r="AK709" s="85"/>
      <c r="AL709" s="83"/>
      <c r="AM709" s="84"/>
      <c r="AN709" s="85"/>
      <c r="AO709" s="60"/>
      <c r="AP709" s="61"/>
      <c r="AQ709" s="77">
        <f t="shared" si="21"/>
        <v>0</v>
      </c>
      <c r="AR709" s="37"/>
      <c r="AS709" s="78">
        <f t="shared" si="22"/>
        <v>0</v>
      </c>
      <c r="AT709" s="37"/>
      <c r="AU709" s="37"/>
      <c r="AV709" s="37"/>
      <c r="AW709" s="37"/>
      <c r="AX709" s="37"/>
    </row>
    <row r="710" spans="1:50" ht="20.100000000000001" customHeight="1" x14ac:dyDescent="0.25">
      <c r="A710" s="37"/>
      <c r="B710" s="58"/>
      <c r="C710" s="37"/>
      <c r="D710" s="97"/>
      <c r="E710" s="98"/>
      <c r="F710" s="101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3"/>
      <c r="T710" s="83"/>
      <c r="U710" s="85"/>
      <c r="V710" s="83"/>
      <c r="W710" s="85"/>
      <c r="X710" s="97"/>
      <c r="Y710" s="100"/>
      <c r="Z710" s="100"/>
      <c r="AA710" s="100"/>
      <c r="AB710" s="100"/>
      <c r="AC710" s="100"/>
      <c r="AD710" s="98"/>
      <c r="AE710" s="83"/>
      <c r="AF710" s="84"/>
      <c r="AG710" s="85"/>
      <c r="AH710" s="83"/>
      <c r="AI710" s="84"/>
      <c r="AJ710" s="84"/>
      <c r="AK710" s="85"/>
      <c r="AL710" s="83"/>
      <c r="AM710" s="84"/>
      <c r="AN710" s="85"/>
      <c r="AO710" s="60"/>
      <c r="AP710" s="61"/>
      <c r="AQ710" s="77">
        <f t="shared" ref="AQ710:AQ773" si="23">AP710-B710</f>
        <v>0</v>
      </c>
      <c r="AR710" s="37"/>
      <c r="AS710" s="78">
        <f t="shared" si="22"/>
        <v>0</v>
      </c>
      <c r="AT710" s="37"/>
      <c r="AU710" s="37"/>
      <c r="AV710" s="37"/>
      <c r="AW710" s="37"/>
      <c r="AX710" s="37"/>
    </row>
    <row r="711" spans="1:50" ht="20.100000000000001" customHeight="1" x14ac:dyDescent="0.25">
      <c r="A711" s="37"/>
      <c r="B711" s="58"/>
      <c r="C711" s="37"/>
      <c r="D711" s="97"/>
      <c r="E711" s="98"/>
      <c r="F711" s="101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3"/>
      <c r="T711" s="83"/>
      <c r="U711" s="85"/>
      <c r="V711" s="83"/>
      <c r="W711" s="85"/>
      <c r="X711" s="97"/>
      <c r="Y711" s="100"/>
      <c r="Z711" s="100"/>
      <c r="AA711" s="100"/>
      <c r="AB711" s="100"/>
      <c r="AC711" s="100"/>
      <c r="AD711" s="98"/>
      <c r="AE711" s="83"/>
      <c r="AF711" s="84"/>
      <c r="AG711" s="85"/>
      <c r="AH711" s="83"/>
      <c r="AI711" s="84"/>
      <c r="AJ711" s="84"/>
      <c r="AK711" s="85"/>
      <c r="AL711" s="83"/>
      <c r="AM711" s="84"/>
      <c r="AN711" s="85"/>
      <c r="AO711" s="60"/>
      <c r="AP711" s="61"/>
      <c r="AQ711" s="77">
        <f t="shared" si="23"/>
        <v>0</v>
      </c>
      <c r="AR711" s="37"/>
      <c r="AS711" s="78">
        <f t="shared" ref="AS711:AS774" si="24">AP711-AR711</f>
        <v>0</v>
      </c>
      <c r="AT711" s="37"/>
      <c r="AU711" s="37"/>
      <c r="AV711" s="37"/>
      <c r="AW711" s="37"/>
      <c r="AX711" s="37"/>
    </row>
    <row r="712" spans="1:50" ht="20.100000000000001" customHeight="1" x14ac:dyDescent="0.25">
      <c r="A712" s="37"/>
      <c r="B712" s="58"/>
      <c r="C712" s="37"/>
      <c r="D712" s="97"/>
      <c r="E712" s="98"/>
      <c r="F712" s="101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3"/>
      <c r="T712" s="83"/>
      <c r="U712" s="85"/>
      <c r="V712" s="83"/>
      <c r="W712" s="85"/>
      <c r="X712" s="97"/>
      <c r="Y712" s="100"/>
      <c r="Z712" s="100"/>
      <c r="AA712" s="100"/>
      <c r="AB712" s="100"/>
      <c r="AC712" s="100"/>
      <c r="AD712" s="98"/>
      <c r="AE712" s="83"/>
      <c r="AF712" s="84"/>
      <c r="AG712" s="85"/>
      <c r="AH712" s="83"/>
      <c r="AI712" s="84"/>
      <c r="AJ712" s="84"/>
      <c r="AK712" s="85"/>
      <c r="AL712" s="83"/>
      <c r="AM712" s="84"/>
      <c r="AN712" s="85"/>
      <c r="AO712" s="60"/>
      <c r="AP712" s="61"/>
      <c r="AQ712" s="77">
        <f t="shared" si="23"/>
        <v>0</v>
      </c>
      <c r="AR712" s="37"/>
      <c r="AS712" s="78">
        <f t="shared" si="24"/>
        <v>0</v>
      </c>
      <c r="AT712" s="37"/>
      <c r="AU712" s="37"/>
      <c r="AV712" s="37"/>
      <c r="AW712" s="37"/>
      <c r="AX712" s="37"/>
    </row>
    <row r="713" spans="1:50" ht="20.100000000000001" customHeight="1" x14ac:dyDescent="0.25">
      <c r="A713" s="37"/>
      <c r="B713" s="58"/>
      <c r="C713" s="37"/>
      <c r="D713" s="97"/>
      <c r="E713" s="98"/>
      <c r="F713" s="101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3"/>
      <c r="T713" s="83"/>
      <c r="U713" s="85"/>
      <c r="V713" s="83"/>
      <c r="W713" s="85"/>
      <c r="X713" s="97"/>
      <c r="Y713" s="100"/>
      <c r="Z713" s="100"/>
      <c r="AA713" s="100"/>
      <c r="AB713" s="100"/>
      <c r="AC713" s="100"/>
      <c r="AD713" s="98"/>
      <c r="AE713" s="83"/>
      <c r="AF713" s="84"/>
      <c r="AG713" s="85"/>
      <c r="AH713" s="83"/>
      <c r="AI713" s="84"/>
      <c r="AJ713" s="84"/>
      <c r="AK713" s="85"/>
      <c r="AL713" s="83"/>
      <c r="AM713" s="84"/>
      <c r="AN713" s="85"/>
      <c r="AO713" s="60"/>
      <c r="AP713" s="61"/>
      <c r="AQ713" s="77">
        <f t="shared" si="23"/>
        <v>0</v>
      </c>
      <c r="AR713" s="37"/>
      <c r="AS713" s="78">
        <f t="shared" si="24"/>
        <v>0</v>
      </c>
      <c r="AT713" s="37"/>
      <c r="AU713" s="37"/>
      <c r="AV713" s="37"/>
      <c r="AW713" s="37"/>
      <c r="AX713" s="37"/>
    </row>
    <row r="714" spans="1:50" ht="20.100000000000001" customHeight="1" x14ac:dyDescent="0.25">
      <c r="A714" s="37"/>
      <c r="B714" s="58"/>
      <c r="C714" s="37"/>
      <c r="D714" s="97"/>
      <c r="E714" s="98"/>
      <c r="F714" s="101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3"/>
      <c r="T714" s="83"/>
      <c r="U714" s="85"/>
      <c r="V714" s="83"/>
      <c r="W714" s="85"/>
      <c r="X714" s="97"/>
      <c r="Y714" s="100"/>
      <c r="Z714" s="100"/>
      <c r="AA714" s="100"/>
      <c r="AB714" s="100"/>
      <c r="AC714" s="100"/>
      <c r="AD714" s="98"/>
      <c r="AE714" s="83"/>
      <c r="AF714" s="84"/>
      <c r="AG714" s="85"/>
      <c r="AH714" s="83"/>
      <c r="AI714" s="84"/>
      <c r="AJ714" s="84"/>
      <c r="AK714" s="85"/>
      <c r="AL714" s="83"/>
      <c r="AM714" s="84"/>
      <c r="AN714" s="85"/>
      <c r="AO714" s="60"/>
      <c r="AP714" s="61"/>
      <c r="AQ714" s="77">
        <f t="shared" si="23"/>
        <v>0</v>
      </c>
      <c r="AR714" s="37"/>
      <c r="AS714" s="78">
        <f t="shared" si="24"/>
        <v>0</v>
      </c>
      <c r="AT714" s="37"/>
      <c r="AU714" s="37"/>
      <c r="AV714" s="37"/>
      <c r="AW714" s="37"/>
      <c r="AX714" s="37"/>
    </row>
    <row r="715" spans="1:50" ht="20.100000000000001" customHeight="1" x14ac:dyDescent="0.25">
      <c r="A715" s="37"/>
      <c r="B715" s="58"/>
      <c r="C715" s="37"/>
      <c r="D715" s="97"/>
      <c r="E715" s="98"/>
      <c r="F715" s="101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3"/>
      <c r="T715" s="83"/>
      <c r="U715" s="85"/>
      <c r="V715" s="83"/>
      <c r="W715" s="85"/>
      <c r="X715" s="97"/>
      <c r="Y715" s="100"/>
      <c r="Z715" s="100"/>
      <c r="AA715" s="100"/>
      <c r="AB715" s="100"/>
      <c r="AC715" s="100"/>
      <c r="AD715" s="98"/>
      <c r="AE715" s="83"/>
      <c r="AF715" s="84"/>
      <c r="AG715" s="85"/>
      <c r="AH715" s="83"/>
      <c r="AI715" s="84"/>
      <c r="AJ715" s="84"/>
      <c r="AK715" s="85"/>
      <c r="AL715" s="83"/>
      <c r="AM715" s="84"/>
      <c r="AN715" s="85"/>
      <c r="AO715" s="60"/>
      <c r="AP715" s="61"/>
      <c r="AQ715" s="77">
        <f t="shared" si="23"/>
        <v>0</v>
      </c>
      <c r="AR715" s="37"/>
      <c r="AS715" s="78">
        <f t="shared" si="24"/>
        <v>0</v>
      </c>
      <c r="AT715" s="37"/>
      <c r="AU715" s="37"/>
      <c r="AV715" s="37"/>
      <c r="AW715" s="37"/>
      <c r="AX715" s="37"/>
    </row>
    <row r="716" spans="1:50" ht="20.100000000000001" customHeight="1" x14ac:dyDescent="0.25">
      <c r="A716" s="37"/>
      <c r="B716" s="58"/>
      <c r="C716" s="37"/>
      <c r="D716" s="97"/>
      <c r="E716" s="98"/>
      <c r="F716" s="101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3"/>
      <c r="T716" s="83"/>
      <c r="U716" s="85"/>
      <c r="V716" s="83"/>
      <c r="W716" s="85"/>
      <c r="X716" s="97"/>
      <c r="Y716" s="100"/>
      <c r="Z716" s="100"/>
      <c r="AA716" s="100"/>
      <c r="AB716" s="100"/>
      <c r="AC716" s="100"/>
      <c r="AD716" s="98"/>
      <c r="AE716" s="83"/>
      <c r="AF716" s="84"/>
      <c r="AG716" s="85"/>
      <c r="AH716" s="83"/>
      <c r="AI716" s="84"/>
      <c r="AJ716" s="84"/>
      <c r="AK716" s="85"/>
      <c r="AL716" s="83"/>
      <c r="AM716" s="84"/>
      <c r="AN716" s="85"/>
      <c r="AO716" s="60"/>
      <c r="AP716" s="61"/>
      <c r="AQ716" s="77">
        <f t="shared" si="23"/>
        <v>0</v>
      </c>
      <c r="AR716" s="37"/>
      <c r="AS716" s="78">
        <f t="shared" si="24"/>
        <v>0</v>
      </c>
      <c r="AT716" s="37"/>
      <c r="AU716" s="37"/>
      <c r="AV716" s="37"/>
      <c r="AW716" s="37"/>
      <c r="AX716" s="37"/>
    </row>
    <row r="717" spans="1:50" ht="20.100000000000001" customHeight="1" x14ac:dyDescent="0.25">
      <c r="A717" s="37"/>
      <c r="B717" s="58"/>
      <c r="C717" s="37"/>
      <c r="D717" s="97"/>
      <c r="E717" s="98"/>
      <c r="F717" s="101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3"/>
      <c r="T717" s="83"/>
      <c r="U717" s="85"/>
      <c r="V717" s="83"/>
      <c r="W717" s="85"/>
      <c r="X717" s="97"/>
      <c r="Y717" s="100"/>
      <c r="Z717" s="100"/>
      <c r="AA717" s="100"/>
      <c r="AB717" s="100"/>
      <c r="AC717" s="100"/>
      <c r="AD717" s="98"/>
      <c r="AE717" s="83"/>
      <c r="AF717" s="84"/>
      <c r="AG717" s="85"/>
      <c r="AH717" s="83"/>
      <c r="AI717" s="84"/>
      <c r="AJ717" s="84"/>
      <c r="AK717" s="85"/>
      <c r="AL717" s="83"/>
      <c r="AM717" s="84"/>
      <c r="AN717" s="85"/>
      <c r="AO717" s="60"/>
      <c r="AP717" s="61"/>
      <c r="AQ717" s="77">
        <f t="shared" si="23"/>
        <v>0</v>
      </c>
      <c r="AR717" s="37"/>
      <c r="AS717" s="78">
        <f t="shared" si="24"/>
        <v>0</v>
      </c>
      <c r="AT717" s="37"/>
      <c r="AU717" s="37"/>
      <c r="AV717" s="37"/>
      <c r="AW717" s="37"/>
      <c r="AX717" s="37"/>
    </row>
    <row r="718" spans="1:50" ht="20.100000000000001" customHeight="1" x14ac:dyDescent="0.25">
      <c r="A718" s="37"/>
      <c r="B718" s="58"/>
      <c r="C718" s="37"/>
      <c r="D718" s="97"/>
      <c r="E718" s="98"/>
      <c r="F718" s="101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3"/>
      <c r="T718" s="83"/>
      <c r="U718" s="85"/>
      <c r="V718" s="83"/>
      <c r="W718" s="85"/>
      <c r="X718" s="97"/>
      <c r="Y718" s="100"/>
      <c r="Z718" s="100"/>
      <c r="AA718" s="100"/>
      <c r="AB718" s="100"/>
      <c r="AC718" s="100"/>
      <c r="AD718" s="98"/>
      <c r="AE718" s="83"/>
      <c r="AF718" s="84"/>
      <c r="AG718" s="85"/>
      <c r="AH718" s="83"/>
      <c r="AI718" s="84"/>
      <c r="AJ718" s="84"/>
      <c r="AK718" s="85"/>
      <c r="AL718" s="83"/>
      <c r="AM718" s="84"/>
      <c r="AN718" s="85"/>
      <c r="AO718" s="60"/>
      <c r="AP718" s="61"/>
      <c r="AQ718" s="77">
        <f t="shared" si="23"/>
        <v>0</v>
      </c>
      <c r="AR718" s="37"/>
      <c r="AS718" s="78">
        <f t="shared" si="24"/>
        <v>0</v>
      </c>
      <c r="AT718" s="37"/>
      <c r="AU718" s="37"/>
      <c r="AV718" s="37"/>
      <c r="AW718" s="37"/>
      <c r="AX718" s="37"/>
    </row>
    <row r="719" spans="1:50" ht="20.100000000000001" customHeight="1" x14ac:dyDescent="0.25">
      <c r="A719" s="37"/>
      <c r="B719" s="58"/>
      <c r="C719" s="37"/>
      <c r="D719" s="97"/>
      <c r="E719" s="98"/>
      <c r="F719" s="101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3"/>
      <c r="T719" s="83"/>
      <c r="U719" s="85"/>
      <c r="V719" s="83"/>
      <c r="W719" s="85"/>
      <c r="X719" s="97"/>
      <c r="Y719" s="100"/>
      <c r="Z719" s="100"/>
      <c r="AA719" s="100"/>
      <c r="AB719" s="100"/>
      <c r="AC719" s="100"/>
      <c r="AD719" s="98"/>
      <c r="AE719" s="83"/>
      <c r="AF719" s="84"/>
      <c r="AG719" s="85"/>
      <c r="AH719" s="83"/>
      <c r="AI719" s="84"/>
      <c r="AJ719" s="84"/>
      <c r="AK719" s="85"/>
      <c r="AL719" s="83"/>
      <c r="AM719" s="84"/>
      <c r="AN719" s="85"/>
      <c r="AO719" s="60"/>
      <c r="AP719" s="61"/>
      <c r="AQ719" s="77">
        <f t="shared" si="23"/>
        <v>0</v>
      </c>
      <c r="AR719" s="37"/>
      <c r="AS719" s="78">
        <f t="shared" si="24"/>
        <v>0</v>
      </c>
      <c r="AT719" s="37"/>
      <c r="AU719" s="37"/>
      <c r="AV719" s="37"/>
      <c r="AW719" s="37"/>
      <c r="AX719" s="37"/>
    </row>
    <row r="720" spans="1:50" ht="20.100000000000001" customHeight="1" x14ac:dyDescent="0.25">
      <c r="A720" s="37"/>
      <c r="B720" s="58"/>
      <c r="C720" s="37"/>
      <c r="D720" s="97"/>
      <c r="E720" s="98"/>
      <c r="F720" s="101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3"/>
      <c r="T720" s="83"/>
      <c r="U720" s="85"/>
      <c r="V720" s="83"/>
      <c r="W720" s="85"/>
      <c r="X720" s="97"/>
      <c r="Y720" s="100"/>
      <c r="Z720" s="100"/>
      <c r="AA720" s="100"/>
      <c r="AB720" s="100"/>
      <c r="AC720" s="100"/>
      <c r="AD720" s="98"/>
      <c r="AE720" s="83"/>
      <c r="AF720" s="84"/>
      <c r="AG720" s="85"/>
      <c r="AH720" s="83"/>
      <c r="AI720" s="84"/>
      <c r="AJ720" s="84"/>
      <c r="AK720" s="85"/>
      <c r="AL720" s="83"/>
      <c r="AM720" s="84"/>
      <c r="AN720" s="85"/>
      <c r="AO720" s="60"/>
      <c r="AP720" s="61"/>
      <c r="AQ720" s="77">
        <f t="shared" si="23"/>
        <v>0</v>
      </c>
      <c r="AR720" s="37"/>
      <c r="AS720" s="78">
        <f t="shared" si="24"/>
        <v>0</v>
      </c>
      <c r="AT720" s="37"/>
      <c r="AU720" s="37"/>
      <c r="AV720" s="37"/>
      <c r="AW720" s="37"/>
      <c r="AX720" s="37"/>
    </row>
    <row r="721" spans="1:50" ht="20.100000000000001" customHeight="1" x14ac:dyDescent="0.25">
      <c r="A721" s="37"/>
      <c r="B721" s="58"/>
      <c r="C721" s="37"/>
      <c r="D721" s="97"/>
      <c r="E721" s="98"/>
      <c r="F721" s="101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3"/>
      <c r="T721" s="83"/>
      <c r="U721" s="85"/>
      <c r="V721" s="83"/>
      <c r="W721" s="85"/>
      <c r="X721" s="97"/>
      <c r="Y721" s="100"/>
      <c r="Z721" s="100"/>
      <c r="AA721" s="100"/>
      <c r="AB721" s="100"/>
      <c r="AC721" s="100"/>
      <c r="AD721" s="98"/>
      <c r="AE721" s="83"/>
      <c r="AF721" s="84"/>
      <c r="AG721" s="85"/>
      <c r="AH721" s="83"/>
      <c r="AI721" s="84"/>
      <c r="AJ721" s="84"/>
      <c r="AK721" s="85"/>
      <c r="AL721" s="83"/>
      <c r="AM721" s="84"/>
      <c r="AN721" s="85"/>
      <c r="AO721" s="60"/>
      <c r="AP721" s="61"/>
      <c r="AQ721" s="77">
        <f t="shared" si="23"/>
        <v>0</v>
      </c>
      <c r="AR721" s="37"/>
      <c r="AS721" s="78">
        <f t="shared" si="24"/>
        <v>0</v>
      </c>
      <c r="AT721" s="37"/>
      <c r="AU721" s="37"/>
      <c r="AV721" s="37"/>
      <c r="AW721" s="37"/>
      <c r="AX721" s="37"/>
    </row>
    <row r="722" spans="1:50" ht="20.100000000000001" customHeight="1" x14ac:dyDescent="0.25">
      <c r="A722" s="37"/>
      <c r="B722" s="58"/>
      <c r="C722" s="37"/>
      <c r="D722" s="97"/>
      <c r="E722" s="98"/>
      <c r="F722" s="101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3"/>
      <c r="T722" s="83"/>
      <c r="U722" s="85"/>
      <c r="V722" s="83"/>
      <c r="W722" s="85"/>
      <c r="X722" s="97"/>
      <c r="Y722" s="100"/>
      <c r="Z722" s="100"/>
      <c r="AA722" s="100"/>
      <c r="AB722" s="100"/>
      <c r="AC722" s="100"/>
      <c r="AD722" s="98"/>
      <c r="AE722" s="83"/>
      <c r="AF722" s="84"/>
      <c r="AG722" s="85"/>
      <c r="AH722" s="83"/>
      <c r="AI722" s="84"/>
      <c r="AJ722" s="84"/>
      <c r="AK722" s="85"/>
      <c r="AL722" s="83"/>
      <c r="AM722" s="84"/>
      <c r="AN722" s="85"/>
      <c r="AO722" s="60"/>
      <c r="AP722" s="61"/>
      <c r="AQ722" s="77">
        <f t="shared" si="23"/>
        <v>0</v>
      </c>
      <c r="AR722" s="37"/>
      <c r="AS722" s="78">
        <f t="shared" si="24"/>
        <v>0</v>
      </c>
      <c r="AT722" s="37"/>
      <c r="AU722" s="37"/>
      <c r="AV722" s="37"/>
      <c r="AW722" s="37"/>
      <c r="AX722" s="37"/>
    </row>
    <row r="723" spans="1:50" ht="20.100000000000001" customHeight="1" x14ac:dyDescent="0.25">
      <c r="A723" s="37"/>
      <c r="B723" s="58"/>
      <c r="C723" s="37"/>
      <c r="D723" s="97"/>
      <c r="E723" s="98"/>
      <c r="F723" s="101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3"/>
      <c r="T723" s="83"/>
      <c r="U723" s="85"/>
      <c r="V723" s="83"/>
      <c r="W723" s="85"/>
      <c r="X723" s="97"/>
      <c r="Y723" s="100"/>
      <c r="Z723" s="100"/>
      <c r="AA723" s="100"/>
      <c r="AB723" s="100"/>
      <c r="AC723" s="100"/>
      <c r="AD723" s="98"/>
      <c r="AE723" s="83"/>
      <c r="AF723" s="84"/>
      <c r="AG723" s="85"/>
      <c r="AH723" s="83"/>
      <c r="AI723" s="84"/>
      <c r="AJ723" s="84"/>
      <c r="AK723" s="85"/>
      <c r="AL723" s="83"/>
      <c r="AM723" s="84"/>
      <c r="AN723" s="85"/>
      <c r="AO723" s="60"/>
      <c r="AP723" s="61"/>
      <c r="AQ723" s="77">
        <f t="shared" si="23"/>
        <v>0</v>
      </c>
      <c r="AR723" s="37"/>
      <c r="AS723" s="78">
        <f t="shared" si="24"/>
        <v>0</v>
      </c>
      <c r="AT723" s="37"/>
      <c r="AU723" s="37"/>
      <c r="AV723" s="37"/>
      <c r="AW723" s="37"/>
      <c r="AX723" s="37"/>
    </row>
    <row r="724" spans="1:50" ht="20.100000000000001" customHeight="1" x14ac:dyDescent="0.25">
      <c r="A724" s="37"/>
      <c r="B724" s="58"/>
      <c r="C724" s="37"/>
      <c r="D724" s="97"/>
      <c r="E724" s="98"/>
      <c r="F724" s="101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3"/>
      <c r="T724" s="83"/>
      <c r="U724" s="85"/>
      <c r="V724" s="83"/>
      <c r="W724" s="85"/>
      <c r="X724" s="97"/>
      <c r="Y724" s="100"/>
      <c r="Z724" s="100"/>
      <c r="AA724" s="100"/>
      <c r="AB724" s="100"/>
      <c r="AC724" s="100"/>
      <c r="AD724" s="98"/>
      <c r="AE724" s="83"/>
      <c r="AF724" s="84"/>
      <c r="AG724" s="85"/>
      <c r="AH724" s="83"/>
      <c r="AI724" s="84"/>
      <c r="AJ724" s="84"/>
      <c r="AK724" s="85"/>
      <c r="AL724" s="83"/>
      <c r="AM724" s="84"/>
      <c r="AN724" s="85"/>
      <c r="AO724" s="60"/>
      <c r="AP724" s="61"/>
      <c r="AQ724" s="77">
        <f t="shared" si="23"/>
        <v>0</v>
      </c>
      <c r="AR724" s="37"/>
      <c r="AS724" s="78">
        <f t="shared" si="24"/>
        <v>0</v>
      </c>
      <c r="AT724" s="37"/>
      <c r="AU724" s="37"/>
      <c r="AV724" s="37"/>
      <c r="AW724" s="37"/>
      <c r="AX724" s="37"/>
    </row>
    <row r="725" spans="1:50" ht="20.100000000000001" customHeight="1" x14ac:dyDescent="0.25">
      <c r="A725" s="37"/>
      <c r="B725" s="58"/>
      <c r="C725" s="37"/>
      <c r="D725" s="97"/>
      <c r="E725" s="98"/>
      <c r="F725" s="101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3"/>
      <c r="T725" s="83"/>
      <c r="U725" s="85"/>
      <c r="V725" s="83"/>
      <c r="W725" s="85"/>
      <c r="X725" s="97"/>
      <c r="Y725" s="100"/>
      <c r="Z725" s="100"/>
      <c r="AA725" s="100"/>
      <c r="AB725" s="100"/>
      <c r="AC725" s="100"/>
      <c r="AD725" s="98"/>
      <c r="AE725" s="83"/>
      <c r="AF725" s="84"/>
      <c r="AG725" s="85"/>
      <c r="AH725" s="83"/>
      <c r="AI725" s="84"/>
      <c r="AJ725" s="84"/>
      <c r="AK725" s="85"/>
      <c r="AL725" s="83"/>
      <c r="AM725" s="84"/>
      <c r="AN725" s="85"/>
      <c r="AO725" s="60"/>
      <c r="AP725" s="61"/>
      <c r="AQ725" s="77">
        <f t="shared" si="23"/>
        <v>0</v>
      </c>
      <c r="AR725" s="37"/>
      <c r="AS725" s="78">
        <f t="shared" si="24"/>
        <v>0</v>
      </c>
      <c r="AT725" s="37"/>
      <c r="AU725" s="37"/>
      <c r="AV725" s="37"/>
      <c r="AW725" s="37"/>
      <c r="AX725" s="37"/>
    </row>
    <row r="726" spans="1:50" ht="20.100000000000001" customHeight="1" x14ac:dyDescent="0.25">
      <c r="A726" s="37"/>
      <c r="B726" s="58"/>
      <c r="C726" s="37"/>
      <c r="D726" s="97"/>
      <c r="E726" s="98"/>
      <c r="F726" s="101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3"/>
      <c r="T726" s="83"/>
      <c r="U726" s="85"/>
      <c r="V726" s="83"/>
      <c r="W726" s="85"/>
      <c r="X726" s="97"/>
      <c r="Y726" s="100"/>
      <c r="Z726" s="100"/>
      <c r="AA726" s="100"/>
      <c r="AB726" s="100"/>
      <c r="AC726" s="100"/>
      <c r="AD726" s="98"/>
      <c r="AE726" s="83"/>
      <c r="AF726" s="84"/>
      <c r="AG726" s="85"/>
      <c r="AH726" s="83"/>
      <c r="AI726" s="84"/>
      <c r="AJ726" s="84"/>
      <c r="AK726" s="85"/>
      <c r="AL726" s="83"/>
      <c r="AM726" s="84"/>
      <c r="AN726" s="85"/>
      <c r="AO726" s="60"/>
      <c r="AP726" s="61"/>
      <c r="AQ726" s="77">
        <f t="shared" si="23"/>
        <v>0</v>
      </c>
      <c r="AR726" s="37"/>
      <c r="AS726" s="78">
        <f t="shared" si="24"/>
        <v>0</v>
      </c>
      <c r="AT726" s="37"/>
      <c r="AU726" s="37"/>
      <c r="AV726" s="37"/>
      <c r="AW726" s="37"/>
      <c r="AX726" s="37"/>
    </row>
    <row r="727" spans="1:50" ht="20.100000000000001" customHeight="1" x14ac:dyDescent="0.25">
      <c r="A727" s="37"/>
      <c r="B727" s="58"/>
      <c r="C727" s="37"/>
      <c r="D727" s="97"/>
      <c r="E727" s="98"/>
      <c r="F727" s="101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3"/>
      <c r="T727" s="83"/>
      <c r="U727" s="85"/>
      <c r="V727" s="83"/>
      <c r="W727" s="85"/>
      <c r="X727" s="97"/>
      <c r="Y727" s="100"/>
      <c r="Z727" s="100"/>
      <c r="AA727" s="100"/>
      <c r="AB727" s="100"/>
      <c r="AC727" s="100"/>
      <c r="AD727" s="98"/>
      <c r="AE727" s="83"/>
      <c r="AF727" s="84"/>
      <c r="AG727" s="85"/>
      <c r="AH727" s="83"/>
      <c r="AI727" s="84"/>
      <c r="AJ727" s="84"/>
      <c r="AK727" s="85"/>
      <c r="AL727" s="83"/>
      <c r="AM727" s="84"/>
      <c r="AN727" s="85"/>
      <c r="AO727" s="60"/>
      <c r="AP727" s="61"/>
      <c r="AQ727" s="77">
        <f t="shared" si="23"/>
        <v>0</v>
      </c>
      <c r="AR727" s="37"/>
      <c r="AS727" s="78">
        <f t="shared" si="24"/>
        <v>0</v>
      </c>
      <c r="AT727" s="37"/>
      <c r="AU727" s="37"/>
      <c r="AV727" s="37"/>
      <c r="AW727" s="37"/>
      <c r="AX727" s="37"/>
    </row>
    <row r="728" spans="1:50" ht="20.100000000000001" customHeight="1" x14ac:dyDescent="0.25">
      <c r="A728" s="37"/>
      <c r="B728" s="58"/>
      <c r="C728" s="37"/>
      <c r="D728" s="97"/>
      <c r="E728" s="98"/>
      <c r="F728" s="101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3"/>
      <c r="T728" s="83"/>
      <c r="U728" s="85"/>
      <c r="V728" s="83"/>
      <c r="W728" s="85"/>
      <c r="X728" s="97"/>
      <c r="Y728" s="100"/>
      <c r="Z728" s="100"/>
      <c r="AA728" s="100"/>
      <c r="AB728" s="100"/>
      <c r="AC728" s="100"/>
      <c r="AD728" s="98"/>
      <c r="AE728" s="83"/>
      <c r="AF728" s="84"/>
      <c r="AG728" s="85"/>
      <c r="AH728" s="83"/>
      <c r="AI728" s="84"/>
      <c r="AJ728" s="84"/>
      <c r="AK728" s="85"/>
      <c r="AL728" s="83"/>
      <c r="AM728" s="84"/>
      <c r="AN728" s="85"/>
      <c r="AO728" s="60"/>
      <c r="AP728" s="61"/>
      <c r="AQ728" s="77">
        <f t="shared" si="23"/>
        <v>0</v>
      </c>
      <c r="AR728" s="37"/>
      <c r="AS728" s="78">
        <f t="shared" si="24"/>
        <v>0</v>
      </c>
      <c r="AT728" s="37"/>
      <c r="AU728" s="37"/>
      <c r="AV728" s="37"/>
      <c r="AW728" s="37"/>
      <c r="AX728" s="37"/>
    </row>
    <row r="729" spans="1:50" ht="20.100000000000001" customHeight="1" x14ac:dyDescent="0.25">
      <c r="A729" s="37"/>
      <c r="B729" s="58"/>
      <c r="C729" s="37"/>
      <c r="D729" s="97"/>
      <c r="E729" s="98"/>
      <c r="F729" s="101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3"/>
      <c r="T729" s="83"/>
      <c r="U729" s="85"/>
      <c r="V729" s="83"/>
      <c r="W729" s="85"/>
      <c r="X729" s="97"/>
      <c r="Y729" s="100"/>
      <c r="Z729" s="100"/>
      <c r="AA729" s="100"/>
      <c r="AB729" s="100"/>
      <c r="AC729" s="100"/>
      <c r="AD729" s="98"/>
      <c r="AE729" s="83"/>
      <c r="AF729" s="84"/>
      <c r="AG729" s="85"/>
      <c r="AH729" s="83"/>
      <c r="AI729" s="84"/>
      <c r="AJ729" s="84"/>
      <c r="AK729" s="85"/>
      <c r="AL729" s="83"/>
      <c r="AM729" s="84"/>
      <c r="AN729" s="85"/>
      <c r="AO729" s="60"/>
      <c r="AP729" s="61"/>
      <c r="AQ729" s="77">
        <f t="shared" si="23"/>
        <v>0</v>
      </c>
      <c r="AR729" s="37"/>
      <c r="AS729" s="78">
        <f t="shared" si="24"/>
        <v>0</v>
      </c>
      <c r="AT729" s="37"/>
      <c r="AU729" s="37"/>
      <c r="AV729" s="37"/>
      <c r="AW729" s="37"/>
      <c r="AX729" s="37"/>
    </row>
    <row r="730" spans="1:50" ht="20.100000000000001" customHeight="1" x14ac:dyDescent="0.25">
      <c r="A730" s="37"/>
      <c r="B730" s="58"/>
      <c r="C730" s="37"/>
      <c r="D730" s="97"/>
      <c r="E730" s="98"/>
      <c r="F730" s="101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3"/>
      <c r="T730" s="83"/>
      <c r="U730" s="85"/>
      <c r="V730" s="83"/>
      <c r="W730" s="85"/>
      <c r="X730" s="97"/>
      <c r="Y730" s="100"/>
      <c r="Z730" s="100"/>
      <c r="AA730" s="100"/>
      <c r="AB730" s="100"/>
      <c r="AC730" s="100"/>
      <c r="AD730" s="98"/>
      <c r="AE730" s="83"/>
      <c r="AF730" s="84"/>
      <c r="AG730" s="85"/>
      <c r="AH730" s="83"/>
      <c r="AI730" s="84"/>
      <c r="AJ730" s="84"/>
      <c r="AK730" s="85"/>
      <c r="AL730" s="83"/>
      <c r="AM730" s="84"/>
      <c r="AN730" s="85"/>
      <c r="AO730" s="60"/>
      <c r="AP730" s="61"/>
      <c r="AQ730" s="77">
        <f t="shared" si="23"/>
        <v>0</v>
      </c>
      <c r="AR730" s="37"/>
      <c r="AS730" s="78">
        <f t="shared" si="24"/>
        <v>0</v>
      </c>
      <c r="AT730" s="37"/>
      <c r="AU730" s="37"/>
      <c r="AV730" s="37"/>
      <c r="AW730" s="37"/>
      <c r="AX730" s="37"/>
    </row>
    <row r="731" spans="1:50" ht="20.100000000000001" customHeight="1" x14ac:dyDescent="0.25">
      <c r="A731" s="37"/>
      <c r="B731" s="58"/>
      <c r="C731" s="37"/>
      <c r="D731" s="97"/>
      <c r="E731" s="98"/>
      <c r="F731" s="101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3"/>
      <c r="T731" s="83"/>
      <c r="U731" s="85"/>
      <c r="V731" s="83"/>
      <c r="W731" s="85"/>
      <c r="X731" s="97"/>
      <c r="Y731" s="100"/>
      <c r="Z731" s="100"/>
      <c r="AA731" s="100"/>
      <c r="AB731" s="100"/>
      <c r="AC731" s="100"/>
      <c r="AD731" s="98"/>
      <c r="AE731" s="83"/>
      <c r="AF731" s="84"/>
      <c r="AG731" s="85"/>
      <c r="AH731" s="83"/>
      <c r="AI731" s="84"/>
      <c r="AJ731" s="84"/>
      <c r="AK731" s="85"/>
      <c r="AL731" s="83"/>
      <c r="AM731" s="84"/>
      <c r="AN731" s="85"/>
      <c r="AO731" s="60"/>
      <c r="AP731" s="61"/>
      <c r="AQ731" s="77">
        <f t="shared" si="23"/>
        <v>0</v>
      </c>
      <c r="AR731" s="37"/>
      <c r="AS731" s="78">
        <f t="shared" si="24"/>
        <v>0</v>
      </c>
      <c r="AT731" s="37"/>
      <c r="AU731" s="37"/>
      <c r="AV731" s="37"/>
      <c r="AW731" s="37"/>
      <c r="AX731" s="37"/>
    </row>
    <row r="732" spans="1:50" ht="20.100000000000001" customHeight="1" x14ac:dyDescent="0.25">
      <c r="A732" s="37"/>
      <c r="B732" s="58"/>
      <c r="C732" s="37"/>
      <c r="D732" s="97"/>
      <c r="E732" s="98"/>
      <c r="F732" s="101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3"/>
      <c r="T732" s="83"/>
      <c r="U732" s="85"/>
      <c r="V732" s="83"/>
      <c r="W732" s="85"/>
      <c r="X732" s="97"/>
      <c r="Y732" s="100"/>
      <c r="Z732" s="100"/>
      <c r="AA732" s="100"/>
      <c r="AB732" s="100"/>
      <c r="AC732" s="100"/>
      <c r="AD732" s="98"/>
      <c r="AE732" s="83"/>
      <c r="AF732" s="84"/>
      <c r="AG732" s="85"/>
      <c r="AH732" s="83"/>
      <c r="AI732" s="84"/>
      <c r="AJ732" s="84"/>
      <c r="AK732" s="85"/>
      <c r="AL732" s="83"/>
      <c r="AM732" s="84"/>
      <c r="AN732" s="85"/>
      <c r="AO732" s="60"/>
      <c r="AP732" s="61"/>
      <c r="AQ732" s="77">
        <f t="shared" si="23"/>
        <v>0</v>
      </c>
      <c r="AR732" s="37"/>
      <c r="AS732" s="78">
        <f t="shared" si="24"/>
        <v>0</v>
      </c>
      <c r="AT732" s="37"/>
      <c r="AU732" s="37"/>
      <c r="AV732" s="37"/>
      <c r="AW732" s="37"/>
      <c r="AX732" s="37"/>
    </row>
    <row r="733" spans="1:50" ht="20.100000000000001" customHeight="1" x14ac:dyDescent="0.25">
      <c r="A733" s="37"/>
      <c r="B733" s="58"/>
      <c r="C733" s="37"/>
      <c r="D733" s="97"/>
      <c r="E733" s="98"/>
      <c r="F733" s="101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3"/>
      <c r="T733" s="83"/>
      <c r="U733" s="85"/>
      <c r="V733" s="83"/>
      <c r="W733" s="85"/>
      <c r="X733" s="97"/>
      <c r="Y733" s="100"/>
      <c r="Z733" s="100"/>
      <c r="AA733" s="100"/>
      <c r="AB733" s="100"/>
      <c r="AC733" s="100"/>
      <c r="AD733" s="98"/>
      <c r="AE733" s="83"/>
      <c r="AF733" s="84"/>
      <c r="AG733" s="85"/>
      <c r="AH733" s="83"/>
      <c r="AI733" s="84"/>
      <c r="AJ733" s="84"/>
      <c r="AK733" s="85"/>
      <c r="AL733" s="83"/>
      <c r="AM733" s="84"/>
      <c r="AN733" s="85"/>
      <c r="AO733" s="60"/>
      <c r="AP733" s="61"/>
      <c r="AQ733" s="77">
        <f t="shared" si="23"/>
        <v>0</v>
      </c>
      <c r="AR733" s="37"/>
      <c r="AS733" s="78">
        <f t="shared" si="24"/>
        <v>0</v>
      </c>
      <c r="AT733" s="37"/>
      <c r="AU733" s="37"/>
      <c r="AV733" s="37"/>
      <c r="AW733" s="37"/>
      <c r="AX733" s="37"/>
    </row>
    <row r="734" spans="1:50" ht="20.100000000000001" customHeight="1" x14ac:dyDescent="0.25">
      <c r="A734" s="37"/>
      <c r="B734" s="58"/>
      <c r="C734" s="37"/>
      <c r="D734" s="97"/>
      <c r="E734" s="98"/>
      <c r="F734" s="101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3"/>
      <c r="T734" s="83"/>
      <c r="U734" s="85"/>
      <c r="V734" s="83"/>
      <c r="W734" s="85"/>
      <c r="X734" s="97"/>
      <c r="Y734" s="100"/>
      <c r="Z734" s="100"/>
      <c r="AA734" s="100"/>
      <c r="AB734" s="100"/>
      <c r="AC734" s="100"/>
      <c r="AD734" s="98"/>
      <c r="AE734" s="83"/>
      <c r="AF734" s="84"/>
      <c r="AG734" s="85"/>
      <c r="AH734" s="83"/>
      <c r="AI734" s="84"/>
      <c r="AJ734" s="84"/>
      <c r="AK734" s="85"/>
      <c r="AL734" s="83"/>
      <c r="AM734" s="84"/>
      <c r="AN734" s="85"/>
      <c r="AO734" s="60"/>
      <c r="AP734" s="61"/>
      <c r="AQ734" s="77">
        <f t="shared" si="23"/>
        <v>0</v>
      </c>
      <c r="AR734" s="37"/>
      <c r="AS734" s="78">
        <f t="shared" si="24"/>
        <v>0</v>
      </c>
      <c r="AT734" s="37"/>
      <c r="AU734" s="37"/>
      <c r="AV734" s="37"/>
      <c r="AW734" s="37"/>
      <c r="AX734" s="37"/>
    </row>
    <row r="735" spans="1:50" ht="20.100000000000001" customHeight="1" x14ac:dyDescent="0.25">
      <c r="A735" s="37"/>
      <c r="B735" s="58"/>
      <c r="C735" s="37"/>
      <c r="D735" s="97"/>
      <c r="E735" s="98"/>
      <c r="F735" s="101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3"/>
      <c r="T735" s="83"/>
      <c r="U735" s="85"/>
      <c r="V735" s="83"/>
      <c r="W735" s="85"/>
      <c r="X735" s="97"/>
      <c r="Y735" s="100"/>
      <c r="Z735" s="100"/>
      <c r="AA735" s="100"/>
      <c r="AB735" s="100"/>
      <c r="AC735" s="100"/>
      <c r="AD735" s="98"/>
      <c r="AE735" s="83"/>
      <c r="AF735" s="84"/>
      <c r="AG735" s="85"/>
      <c r="AH735" s="83"/>
      <c r="AI735" s="84"/>
      <c r="AJ735" s="84"/>
      <c r="AK735" s="85"/>
      <c r="AL735" s="83"/>
      <c r="AM735" s="84"/>
      <c r="AN735" s="85"/>
      <c r="AO735" s="60"/>
      <c r="AP735" s="61"/>
      <c r="AQ735" s="77">
        <f t="shared" si="23"/>
        <v>0</v>
      </c>
      <c r="AR735" s="37"/>
      <c r="AS735" s="78">
        <f t="shared" si="24"/>
        <v>0</v>
      </c>
      <c r="AT735" s="37"/>
      <c r="AU735" s="37"/>
      <c r="AV735" s="37"/>
      <c r="AW735" s="37"/>
      <c r="AX735" s="37"/>
    </row>
    <row r="736" spans="1:50" ht="20.100000000000001" customHeight="1" x14ac:dyDescent="0.25">
      <c r="A736" s="37"/>
      <c r="B736" s="58"/>
      <c r="C736" s="37"/>
      <c r="D736" s="97"/>
      <c r="E736" s="98"/>
      <c r="F736" s="101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3"/>
      <c r="T736" s="83"/>
      <c r="U736" s="85"/>
      <c r="V736" s="83"/>
      <c r="W736" s="85"/>
      <c r="X736" s="97"/>
      <c r="Y736" s="100"/>
      <c r="Z736" s="100"/>
      <c r="AA736" s="100"/>
      <c r="AB736" s="100"/>
      <c r="AC736" s="100"/>
      <c r="AD736" s="98"/>
      <c r="AE736" s="83"/>
      <c r="AF736" s="84"/>
      <c r="AG736" s="85"/>
      <c r="AH736" s="83"/>
      <c r="AI736" s="84"/>
      <c r="AJ736" s="84"/>
      <c r="AK736" s="85"/>
      <c r="AL736" s="83"/>
      <c r="AM736" s="84"/>
      <c r="AN736" s="85"/>
      <c r="AO736" s="60"/>
      <c r="AP736" s="61"/>
      <c r="AQ736" s="77">
        <f t="shared" si="23"/>
        <v>0</v>
      </c>
      <c r="AR736" s="37"/>
      <c r="AS736" s="78">
        <f t="shared" si="24"/>
        <v>0</v>
      </c>
      <c r="AT736" s="37"/>
      <c r="AU736" s="37"/>
      <c r="AV736" s="37"/>
      <c r="AW736" s="37"/>
      <c r="AX736" s="37"/>
    </row>
    <row r="737" spans="1:50" ht="20.100000000000001" customHeight="1" x14ac:dyDescent="0.25">
      <c r="A737" s="37"/>
      <c r="B737" s="58"/>
      <c r="C737" s="37"/>
      <c r="D737" s="97"/>
      <c r="E737" s="98"/>
      <c r="F737" s="101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3"/>
      <c r="T737" s="83"/>
      <c r="U737" s="85"/>
      <c r="V737" s="83"/>
      <c r="W737" s="85"/>
      <c r="X737" s="97"/>
      <c r="Y737" s="100"/>
      <c r="Z737" s="100"/>
      <c r="AA737" s="100"/>
      <c r="AB737" s="100"/>
      <c r="AC737" s="100"/>
      <c r="AD737" s="98"/>
      <c r="AE737" s="83"/>
      <c r="AF737" s="84"/>
      <c r="AG737" s="85"/>
      <c r="AH737" s="83"/>
      <c r="AI737" s="84"/>
      <c r="AJ737" s="84"/>
      <c r="AK737" s="85"/>
      <c r="AL737" s="83"/>
      <c r="AM737" s="84"/>
      <c r="AN737" s="85"/>
      <c r="AO737" s="60"/>
      <c r="AP737" s="61"/>
      <c r="AQ737" s="77">
        <f t="shared" si="23"/>
        <v>0</v>
      </c>
      <c r="AR737" s="37"/>
      <c r="AS737" s="78">
        <f t="shared" si="24"/>
        <v>0</v>
      </c>
      <c r="AT737" s="37"/>
      <c r="AU737" s="37"/>
      <c r="AV737" s="37"/>
      <c r="AW737" s="37"/>
      <c r="AX737" s="37"/>
    </row>
    <row r="738" spans="1:50" ht="20.100000000000001" customHeight="1" x14ac:dyDescent="0.25">
      <c r="A738" s="37"/>
      <c r="B738" s="58"/>
      <c r="C738" s="37"/>
      <c r="D738" s="97"/>
      <c r="E738" s="98"/>
      <c r="F738" s="101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3"/>
      <c r="T738" s="83"/>
      <c r="U738" s="85"/>
      <c r="V738" s="83"/>
      <c r="W738" s="85"/>
      <c r="X738" s="97"/>
      <c r="Y738" s="100"/>
      <c r="Z738" s="100"/>
      <c r="AA738" s="100"/>
      <c r="AB738" s="100"/>
      <c r="AC738" s="100"/>
      <c r="AD738" s="98"/>
      <c r="AE738" s="83"/>
      <c r="AF738" s="84"/>
      <c r="AG738" s="85"/>
      <c r="AH738" s="83"/>
      <c r="AI738" s="84"/>
      <c r="AJ738" s="84"/>
      <c r="AK738" s="85"/>
      <c r="AL738" s="83"/>
      <c r="AM738" s="84"/>
      <c r="AN738" s="85"/>
      <c r="AO738" s="60"/>
      <c r="AP738" s="61"/>
      <c r="AQ738" s="77">
        <f t="shared" si="23"/>
        <v>0</v>
      </c>
      <c r="AR738" s="37"/>
      <c r="AS738" s="78">
        <f t="shared" si="24"/>
        <v>0</v>
      </c>
      <c r="AT738" s="37"/>
      <c r="AU738" s="37"/>
      <c r="AV738" s="37"/>
      <c r="AW738" s="37"/>
      <c r="AX738" s="37"/>
    </row>
    <row r="739" spans="1:50" ht="20.100000000000001" customHeight="1" x14ac:dyDescent="0.25">
      <c r="A739" s="37"/>
      <c r="B739" s="58"/>
      <c r="C739" s="37"/>
      <c r="D739" s="97"/>
      <c r="E739" s="98"/>
      <c r="F739" s="101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3"/>
      <c r="T739" s="83"/>
      <c r="U739" s="85"/>
      <c r="V739" s="83"/>
      <c r="W739" s="85"/>
      <c r="X739" s="97"/>
      <c r="Y739" s="100"/>
      <c r="Z739" s="100"/>
      <c r="AA739" s="100"/>
      <c r="AB739" s="100"/>
      <c r="AC739" s="100"/>
      <c r="AD739" s="98"/>
      <c r="AE739" s="83"/>
      <c r="AF739" s="84"/>
      <c r="AG739" s="85"/>
      <c r="AH739" s="83"/>
      <c r="AI739" s="84"/>
      <c r="AJ739" s="84"/>
      <c r="AK739" s="85"/>
      <c r="AL739" s="83"/>
      <c r="AM739" s="84"/>
      <c r="AN739" s="85"/>
      <c r="AO739" s="60"/>
      <c r="AP739" s="61"/>
      <c r="AQ739" s="77">
        <f t="shared" si="23"/>
        <v>0</v>
      </c>
      <c r="AR739" s="37"/>
      <c r="AS739" s="78">
        <f t="shared" si="24"/>
        <v>0</v>
      </c>
      <c r="AT739" s="37"/>
      <c r="AU739" s="37"/>
      <c r="AV739" s="37"/>
      <c r="AW739" s="37"/>
      <c r="AX739" s="37"/>
    </row>
    <row r="740" spans="1:50" ht="20.100000000000001" customHeight="1" x14ac:dyDescent="0.25">
      <c r="A740" s="37"/>
      <c r="B740" s="58"/>
      <c r="C740" s="37"/>
      <c r="D740" s="97"/>
      <c r="E740" s="98"/>
      <c r="F740" s="101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3"/>
      <c r="T740" s="83"/>
      <c r="U740" s="85"/>
      <c r="V740" s="83"/>
      <c r="W740" s="85"/>
      <c r="X740" s="97"/>
      <c r="Y740" s="100"/>
      <c r="Z740" s="100"/>
      <c r="AA740" s="100"/>
      <c r="AB740" s="100"/>
      <c r="AC740" s="100"/>
      <c r="AD740" s="98"/>
      <c r="AE740" s="83"/>
      <c r="AF740" s="84"/>
      <c r="AG740" s="85"/>
      <c r="AH740" s="83"/>
      <c r="AI740" s="84"/>
      <c r="AJ740" s="84"/>
      <c r="AK740" s="85"/>
      <c r="AL740" s="83"/>
      <c r="AM740" s="84"/>
      <c r="AN740" s="85"/>
      <c r="AO740" s="60"/>
      <c r="AP740" s="61"/>
      <c r="AQ740" s="77">
        <f t="shared" si="23"/>
        <v>0</v>
      </c>
      <c r="AR740" s="37"/>
      <c r="AS740" s="78">
        <f t="shared" si="24"/>
        <v>0</v>
      </c>
      <c r="AT740" s="37"/>
      <c r="AU740" s="37"/>
      <c r="AV740" s="37"/>
      <c r="AW740" s="37"/>
      <c r="AX740" s="37"/>
    </row>
    <row r="741" spans="1:50" ht="20.100000000000001" customHeight="1" x14ac:dyDescent="0.25">
      <c r="A741" s="37"/>
      <c r="B741" s="58"/>
      <c r="C741" s="37"/>
      <c r="D741" s="97"/>
      <c r="E741" s="98"/>
      <c r="F741" s="101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3"/>
      <c r="T741" s="83"/>
      <c r="U741" s="85"/>
      <c r="V741" s="83"/>
      <c r="W741" s="85"/>
      <c r="X741" s="97"/>
      <c r="Y741" s="100"/>
      <c r="Z741" s="100"/>
      <c r="AA741" s="100"/>
      <c r="AB741" s="100"/>
      <c r="AC741" s="100"/>
      <c r="AD741" s="98"/>
      <c r="AE741" s="83"/>
      <c r="AF741" s="84"/>
      <c r="AG741" s="85"/>
      <c r="AH741" s="83"/>
      <c r="AI741" s="84"/>
      <c r="AJ741" s="84"/>
      <c r="AK741" s="85"/>
      <c r="AL741" s="83"/>
      <c r="AM741" s="84"/>
      <c r="AN741" s="85"/>
      <c r="AO741" s="60"/>
      <c r="AP741" s="61"/>
      <c r="AQ741" s="77">
        <f t="shared" si="23"/>
        <v>0</v>
      </c>
      <c r="AR741" s="37"/>
      <c r="AS741" s="78">
        <f t="shared" si="24"/>
        <v>0</v>
      </c>
      <c r="AT741" s="37"/>
      <c r="AU741" s="37"/>
      <c r="AV741" s="37"/>
      <c r="AW741" s="37"/>
      <c r="AX741" s="37"/>
    </row>
    <row r="742" spans="1:50" ht="20.100000000000001" customHeight="1" x14ac:dyDescent="0.25">
      <c r="A742" s="37"/>
      <c r="B742" s="58"/>
      <c r="C742" s="37"/>
      <c r="D742" s="97"/>
      <c r="E742" s="98"/>
      <c r="F742" s="101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3"/>
      <c r="T742" s="83"/>
      <c r="U742" s="85"/>
      <c r="V742" s="83"/>
      <c r="W742" s="85"/>
      <c r="X742" s="97"/>
      <c r="Y742" s="100"/>
      <c r="Z742" s="100"/>
      <c r="AA742" s="100"/>
      <c r="AB742" s="100"/>
      <c r="AC742" s="100"/>
      <c r="AD742" s="98"/>
      <c r="AE742" s="83"/>
      <c r="AF742" s="84"/>
      <c r="AG742" s="85"/>
      <c r="AH742" s="83"/>
      <c r="AI742" s="84"/>
      <c r="AJ742" s="84"/>
      <c r="AK742" s="85"/>
      <c r="AL742" s="83"/>
      <c r="AM742" s="84"/>
      <c r="AN742" s="85"/>
      <c r="AO742" s="60"/>
      <c r="AP742" s="61"/>
      <c r="AQ742" s="77">
        <f t="shared" si="23"/>
        <v>0</v>
      </c>
      <c r="AR742" s="37"/>
      <c r="AS742" s="78">
        <f t="shared" si="24"/>
        <v>0</v>
      </c>
      <c r="AT742" s="37"/>
      <c r="AU742" s="37"/>
      <c r="AV742" s="37"/>
      <c r="AW742" s="37"/>
      <c r="AX742" s="37"/>
    </row>
    <row r="743" spans="1:50" ht="20.100000000000001" customHeight="1" x14ac:dyDescent="0.25">
      <c r="A743" s="37"/>
      <c r="B743" s="58"/>
      <c r="C743" s="37"/>
      <c r="D743" s="97"/>
      <c r="E743" s="98"/>
      <c r="F743" s="101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3"/>
      <c r="T743" s="83"/>
      <c r="U743" s="85"/>
      <c r="V743" s="83"/>
      <c r="W743" s="85"/>
      <c r="X743" s="97"/>
      <c r="Y743" s="100"/>
      <c r="Z743" s="100"/>
      <c r="AA743" s="100"/>
      <c r="AB743" s="100"/>
      <c r="AC743" s="100"/>
      <c r="AD743" s="98"/>
      <c r="AE743" s="83"/>
      <c r="AF743" s="84"/>
      <c r="AG743" s="85"/>
      <c r="AH743" s="83"/>
      <c r="AI743" s="84"/>
      <c r="AJ743" s="84"/>
      <c r="AK743" s="85"/>
      <c r="AL743" s="83"/>
      <c r="AM743" s="84"/>
      <c r="AN743" s="85"/>
      <c r="AO743" s="60"/>
      <c r="AP743" s="61"/>
      <c r="AQ743" s="77">
        <f t="shared" si="23"/>
        <v>0</v>
      </c>
      <c r="AR743" s="37"/>
      <c r="AS743" s="78">
        <f t="shared" si="24"/>
        <v>0</v>
      </c>
      <c r="AT743" s="37"/>
      <c r="AU743" s="37"/>
      <c r="AV743" s="37"/>
      <c r="AW743" s="37"/>
      <c r="AX743" s="37"/>
    </row>
    <row r="744" spans="1:50" ht="20.100000000000001" customHeight="1" x14ac:dyDescent="0.25">
      <c r="A744" s="37"/>
      <c r="B744" s="58"/>
      <c r="C744" s="37"/>
      <c r="D744" s="97"/>
      <c r="E744" s="98"/>
      <c r="F744" s="101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3"/>
      <c r="T744" s="83"/>
      <c r="U744" s="85"/>
      <c r="V744" s="83"/>
      <c r="W744" s="85"/>
      <c r="X744" s="97"/>
      <c r="Y744" s="100"/>
      <c r="Z744" s="100"/>
      <c r="AA744" s="100"/>
      <c r="AB744" s="100"/>
      <c r="AC744" s="100"/>
      <c r="AD744" s="98"/>
      <c r="AE744" s="83"/>
      <c r="AF744" s="84"/>
      <c r="AG744" s="85"/>
      <c r="AH744" s="83"/>
      <c r="AI744" s="84"/>
      <c r="AJ744" s="84"/>
      <c r="AK744" s="85"/>
      <c r="AL744" s="83"/>
      <c r="AM744" s="84"/>
      <c r="AN744" s="85"/>
      <c r="AO744" s="60"/>
      <c r="AP744" s="61"/>
      <c r="AQ744" s="77">
        <f t="shared" si="23"/>
        <v>0</v>
      </c>
      <c r="AR744" s="37"/>
      <c r="AS744" s="78">
        <f t="shared" si="24"/>
        <v>0</v>
      </c>
      <c r="AT744" s="37"/>
      <c r="AU744" s="37"/>
      <c r="AV744" s="37"/>
      <c r="AW744" s="37"/>
      <c r="AX744" s="37"/>
    </row>
    <row r="745" spans="1:50" ht="20.100000000000001" customHeight="1" x14ac:dyDescent="0.25">
      <c r="A745" s="37"/>
      <c r="B745" s="58"/>
      <c r="C745" s="37"/>
      <c r="D745" s="97"/>
      <c r="E745" s="98"/>
      <c r="F745" s="101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3"/>
      <c r="T745" s="83"/>
      <c r="U745" s="85"/>
      <c r="V745" s="83"/>
      <c r="W745" s="85"/>
      <c r="X745" s="97"/>
      <c r="Y745" s="100"/>
      <c r="Z745" s="100"/>
      <c r="AA745" s="100"/>
      <c r="AB745" s="100"/>
      <c r="AC745" s="100"/>
      <c r="AD745" s="98"/>
      <c r="AE745" s="83"/>
      <c r="AF745" s="84"/>
      <c r="AG745" s="85"/>
      <c r="AH745" s="83"/>
      <c r="AI745" s="84"/>
      <c r="AJ745" s="84"/>
      <c r="AK745" s="85"/>
      <c r="AL745" s="83"/>
      <c r="AM745" s="84"/>
      <c r="AN745" s="85"/>
      <c r="AO745" s="60"/>
      <c r="AP745" s="61"/>
      <c r="AQ745" s="77">
        <f t="shared" si="23"/>
        <v>0</v>
      </c>
      <c r="AR745" s="37"/>
      <c r="AS745" s="78">
        <f t="shared" si="24"/>
        <v>0</v>
      </c>
      <c r="AT745" s="37"/>
      <c r="AU745" s="37"/>
      <c r="AV745" s="37"/>
      <c r="AW745" s="37"/>
      <c r="AX745" s="37"/>
    </row>
    <row r="746" spans="1:50" ht="20.100000000000001" customHeight="1" x14ac:dyDescent="0.25">
      <c r="A746" s="37"/>
      <c r="B746" s="58"/>
      <c r="C746" s="37"/>
      <c r="D746" s="97"/>
      <c r="E746" s="98"/>
      <c r="F746" s="101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3"/>
      <c r="T746" s="83"/>
      <c r="U746" s="85"/>
      <c r="V746" s="83"/>
      <c r="W746" s="85"/>
      <c r="X746" s="97"/>
      <c r="Y746" s="100"/>
      <c r="Z746" s="100"/>
      <c r="AA746" s="100"/>
      <c r="AB746" s="100"/>
      <c r="AC746" s="100"/>
      <c r="AD746" s="98"/>
      <c r="AE746" s="83"/>
      <c r="AF746" s="84"/>
      <c r="AG746" s="85"/>
      <c r="AH746" s="83"/>
      <c r="AI746" s="84"/>
      <c r="AJ746" s="84"/>
      <c r="AK746" s="85"/>
      <c r="AL746" s="83"/>
      <c r="AM746" s="84"/>
      <c r="AN746" s="85"/>
      <c r="AO746" s="60"/>
      <c r="AP746" s="61"/>
      <c r="AQ746" s="77">
        <f t="shared" si="23"/>
        <v>0</v>
      </c>
      <c r="AR746" s="37"/>
      <c r="AS746" s="78">
        <f t="shared" si="24"/>
        <v>0</v>
      </c>
      <c r="AT746" s="37"/>
      <c r="AU746" s="37"/>
      <c r="AV746" s="37"/>
      <c r="AW746" s="37"/>
      <c r="AX746" s="37"/>
    </row>
    <row r="747" spans="1:50" ht="20.100000000000001" customHeight="1" x14ac:dyDescent="0.25">
      <c r="A747" s="37"/>
      <c r="B747" s="58"/>
      <c r="C747" s="37"/>
      <c r="D747" s="97"/>
      <c r="E747" s="98"/>
      <c r="F747" s="101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3"/>
      <c r="T747" s="83"/>
      <c r="U747" s="85"/>
      <c r="V747" s="83"/>
      <c r="W747" s="85"/>
      <c r="X747" s="97"/>
      <c r="Y747" s="100"/>
      <c r="Z747" s="100"/>
      <c r="AA747" s="100"/>
      <c r="AB747" s="100"/>
      <c r="AC747" s="100"/>
      <c r="AD747" s="98"/>
      <c r="AE747" s="83"/>
      <c r="AF747" s="84"/>
      <c r="AG747" s="85"/>
      <c r="AH747" s="83"/>
      <c r="AI747" s="84"/>
      <c r="AJ747" s="84"/>
      <c r="AK747" s="85"/>
      <c r="AL747" s="83"/>
      <c r="AM747" s="84"/>
      <c r="AN747" s="85"/>
      <c r="AO747" s="60"/>
      <c r="AP747" s="61"/>
      <c r="AQ747" s="77">
        <f t="shared" si="23"/>
        <v>0</v>
      </c>
      <c r="AR747" s="37"/>
      <c r="AS747" s="78">
        <f t="shared" si="24"/>
        <v>0</v>
      </c>
      <c r="AT747" s="37"/>
      <c r="AU747" s="37"/>
      <c r="AV747" s="37"/>
      <c r="AW747" s="37"/>
      <c r="AX747" s="37"/>
    </row>
    <row r="748" spans="1:50" ht="20.100000000000001" customHeight="1" x14ac:dyDescent="0.25">
      <c r="A748" s="37"/>
      <c r="B748" s="58"/>
      <c r="C748" s="37"/>
      <c r="D748" s="97"/>
      <c r="E748" s="98"/>
      <c r="F748" s="101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3"/>
      <c r="T748" s="83"/>
      <c r="U748" s="85"/>
      <c r="V748" s="83"/>
      <c r="W748" s="85"/>
      <c r="X748" s="97"/>
      <c r="Y748" s="100"/>
      <c r="Z748" s="100"/>
      <c r="AA748" s="100"/>
      <c r="AB748" s="100"/>
      <c r="AC748" s="100"/>
      <c r="AD748" s="98"/>
      <c r="AE748" s="83"/>
      <c r="AF748" s="84"/>
      <c r="AG748" s="85"/>
      <c r="AH748" s="83"/>
      <c r="AI748" s="84"/>
      <c r="AJ748" s="84"/>
      <c r="AK748" s="85"/>
      <c r="AL748" s="83"/>
      <c r="AM748" s="84"/>
      <c r="AN748" s="85"/>
      <c r="AO748" s="60"/>
      <c r="AP748" s="61"/>
      <c r="AQ748" s="77">
        <f t="shared" si="23"/>
        <v>0</v>
      </c>
      <c r="AR748" s="37"/>
      <c r="AS748" s="78">
        <f t="shared" si="24"/>
        <v>0</v>
      </c>
      <c r="AT748" s="37"/>
      <c r="AU748" s="37"/>
      <c r="AV748" s="37"/>
      <c r="AW748" s="37"/>
      <c r="AX748" s="37"/>
    </row>
    <row r="749" spans="1:50" ht="20.100000000000001" customHeight="1" x14ac:dyDescent="0.25">
      <c r="A749" s="37"/>
      <c r="B749" s="58"/>
      <c r="C749" s="37"/>
      <c r="D749" s="97"/>
      <c r="E749" s="98"/>
      <c r="F749" s="101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3"/>
      <c r="T749" s="83"/>
      <c r="U749" s="85"/>
      <c r="V749" s="83"/>
      <c r="W749" s="85"/>
      <c r="X749" s="97"/>
      <c r="Y749" s="100"/>
      <c r="Z749" s="100"/>
      <c r="AA749" s="100"/>
      <c r="AB749" s="100"/>
      <c r="AC749" s="100"/>
      <c r="AD749" s="98"/>
      <c r="AE749" s="83"/>
      <c r="AF749" s="84"/>
      <c r="AG749" s="85"/>
      <c r="AH749" s="83"/>
      <c r="AI749" s="84"/>
      <c r="AJ749" s="84"/>
      <c r="AK749" s="85"/>
      <c r="AL749" s="83"/>
      <c r="AM749" s="84"/>
      <c r="AN749" s="85"/>
      <c r="AO749" s="60"/>
      <c r="AP749" s="61"/>
      <c r="AQ749" s="77">
        <f t="shared" si="23"/>
        <v>0</v>
      </c>
      <c r="AR749" s="37"/>
      <c r="AS749" s="78">
        <f t="shared" si="24"/>
        <v>0</v>
      </c>
      <c r="AT749" s="37"/>
      <c r="AU749" s="37"/>
      <c r="AV749" s="37"/>
      <c r="AW749" s="37"/>
      <c r="AX749" s="37"/>
    </row>
    <row r="750" spans="1:50" ht="20.100000000000001" customHeight="1" x14ac:dyDescent="0.25">
      <c r="A750" s="37"/>
      <c r="B750" s="58"/>
      <c r="C750" s="37"/>
      <c r="D750" s="97"/>
      <c r="E750" s="98"/>
      <c r="F750" s="101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3"/>
      <c r="T750" s="83"/>
      <c r="U750" s="85"/>
      <c r="V750" s="83"/>
      <c r="W750" s="85"/>
      <c r="X750" s="97"/>
      <c r="Y750" s="100"/>
      <c r="Z750" s="100"/>
      <c r="AA750" s="100"/>
      <c r="AB750" s="100"/>
      <c r="AC750" s="100"/>
      <c r="AD750" s="98"/>
      <c r="AE750" s="83"/>
      <c r="AF750" s="84"/>
      <c r="AG750" s="85"/>
      <c r="AH750" s="83"/>
      <c r="AI750" s="84"/>
      <c r="AJ750" s="84"/>
      <c r="AK750" s="85"/>
      <c r="AL750" s="83"/>
      <c r="AM750" s="84"/>
      <c r="AN750" s="85"/>
      <c r="AO750" s="60"/>
      <c r="AP750" s="61"/>
      <c r="AQ750" s="77">
        <f t="shared" si="23"/>
        <v>0</v>
      </c>
      <c r="AR750" s="37"/>
      <c r="AS750" s="78">
        <f t="shared" si="24"/>
        <v>0</v>
      </c>
      <c r="AT750" s="37"/>
      <c r="AU750" s="37"/>
      <c r="AV750" s="37"/>
      <c r="AW750" s="37"/>
      <c r="AX750" s="37"/>
    </row>
    <row r="751" spans="1:50" ht="20.100000000000001" customHeight="1" x14ac:dyDescent="0.25">
      <c r="A751" s="37"/>
      <c r="B751" s="58"/>
      <c r="C751" s="37"/>
      <c r="D751" s="97"/>
      <c r="E751" s="98"/>
      <c r="F751" s="101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3"/>
      <c r="T751" s="83"/>
      <c r="U751" s="85"/>
      <c r="V751" s="83"/>
      <c r="W751" s="85"/>
      <c r="X751" s="97"/>
      <c r="Y751" s="100"/>
      <c r="Z751" s="100"/>
      <c r="AA751" s="100"/>
      <c r="AB751" s="100"/>
      <c r="AC751" s="100"/>
      <c r="AD751" s="98"/>
      <c r="AE751" s="83"/>
      <c r="AF751" s="84"/>
      <c r="AG751" s="85"/>
      <c r="AH751" s="83"/>
      <c r="AI751" s="84"/>
      <c r="AJ751" s="84"/>
      <c r="AK751" s="85"/>
      <c r="AL751" s="83"/>
      <c r="AM751" s="84"/>
      <c r="AN751" s="85"/>
      <c r="AO751" s="60"/>
      <c r="AP751" s="61"/>
      <c r="AQ751" s="77">
        <f t="shared" si="23"/>
        <v>0</v>
      </c>
      <c r="AR751" s="37"/>
      <c r="AS751" s="78">
        <f t="shared" si="24"/>
        <v>0</v>
      </c>
      <c r="AT751" s="37"/>
      <c r="AU751" s="37"/>
      <c r="AV751" s="37"/>
      <c r="AW751" s="37"/>
      <c r="AX751" s="37"/>
    </row>
    <row r="752" spans="1:50" ht="20.100000000000001" customHeight="1" x14ac:dyDescent="0.25">
      <c r="A752" s="37"/>
      <c r="B752" s="58"/>
      <c r="C752" s="37"/>
      <c r="D752" s="97"/>
      <c r="E752" s="98"/>
      <c r="F752" s="101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3"/>
      <c r="T752" s="83"/>
      <c r="U752" s="85"/>
      <c r="V752" s="83"/>
      <c r="W752" s="85"/>
      <c r="X752" s="97"/>
      <c r="Y752" s="100"/>
      <c r="Z752" s="100"/>
      <c r="AA752" s="100"/>
      <c r="AB752" s="100"/>
      <c r="AC752" s="100"/>
      <c r="AD752" s="98"/>
      <c r="AE752" s="83"/>
      <c r="AF752" s="84"/>
      <c r="AG752" s="85"/>
      <c r="AH752" s="83"/>
      <c r="AI752" s="84"/>
      <c r="AJ752" s="84"/>
      <c r="AK752" s="85"/>
      <c r="AL752" s="83"/>
      <c r="AM752" s="84"/>
      <c r="AN752" s="85"/>
      <c r="AO752" s="60"/>
      <c r="AP752" s="61"/>
      <c r="AQ752" s="77">
        <f t="shared" si="23"/>
        <v>0</v>
      </c>
      <c r="AR752" s="37"/>
      <c r="AS752" s="78">
        <f t="shared" si="24"/>
        <v>0</v>
      </c>
      <c r="AT752" s="37"/>
      <c r="AU752" s="37"/>
      <c r="AV752" s="37"/>
      <c r="AW752" s="37"/>
      <c r="AX752" s="37"/>
    </row>
    <row r="753" spans="1:50" ht="20.100000000000001" customHeight="1" x14ac:dyDescent="0.25">
      <c r="A753" s="37"/>
      <c r="B753" s="58"/>
      <c r="C753" s="37"/>
      <c r="D753" s="97"/>
      <c r="E753" s="98"/>
      <c r="F753" s="101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3"/>
      <c r="T753" s="83"/>
      <c r="U753" s="85"/>
      <c r="V753" s="83"/>
      <c r="W753" s="85"/>
      <c r="X753" s="97"/>
      <c r="Y753" s="100"/>
      <c r="Z753" s="100"/>
      <c r="AA753" s="100"/>
      <c r="AB753" s="100"/>
      <c r="AC753" s="100"/>
      <c r="AD753" s="98"/>
      <c r="AE753" s="83"/>
      <c r="AF753" s="84"/>
      <c r="AG753" s="85"/>
      <c r="AH753" s="83"/>
      <c r="AI753" s="84"/>
      <c r="AJ753" s="84"/>
      <c r="AK753" s="85"/>
      <c r="AL753" s="83"/>
      <c r="AM753" s="84"/>
      <c r="AN753" s="85"/>
      <c r="AO753" s="60"/>
      <c r="AP753" s="61"/>
      <c r="AQ753" s="77">
        <f t="shared" si="23"/>
        <v>0</v>
      </c>
      <c r="AR753" s="37"/>
      <c r="AS753" s="78">
        <f t="shared" si="24"/>
        <v>0</v>
      </c>
      <c r="AT753" s="37"/>
      <c r="AU753" s="37"/>
      <c r="AV753" s="37"/>
      <c r="AW753" s="37"/>
      <c r="AX753" s="37"/>
    </row>
    <row r="754" spans="1:50" ht="20.100000000000001" customHeight="1" x14ac:dyDescent="0.25">
      <c r="A754" s="37"/>
      <c r="B754" s="58"/>
      <c r="C754" s="37"/>
      <c r="D754" s="97"/>
      <c r="E754" s="98"/>
      <c r="F754" s="101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3"/>
      <c r="T754" s="83"/>
      <c r="U754" s="85"/>
      <c r="V754" s="83"/>
      <c r="W754" s="85"/>
      <c r="X754" s="97"/>
      <c r="Y754" s="100"/>
      <c r="Z754" s="100"/>
      <c r="AA754" s="100"/>
      <c r="AB754" s="100"/>
      <c r="AC754" s="100"/>
      <c r="AD754" s="98"/>
      <c r="AE754" s="83"/>
      <c r="AF754" s="84"/>
      <c r="AG754" s="85"/>
      <c r="AH754" s="83"/>
      <c r="AI754" s="84"/>
      <c r="AJ754" s="84"/>
      <c r="AK754" s="85"/>
      <c r="AL754" s="83"/>
      <c r="AM754" s="84"/>
      <c r="AN754" s="85"/>
      <c r="AO754" s="60"/>
      <c r="AP754" s="61"/>
      <c r="AQ754" s="77">
        <f t="shared" si="23"/>
        <v>0</v>
      </c>
      <c r="AR754" s="37"/>
      <c r="AS754" s="78">
        <f t="shared" si="24"/>
        <v>0</v>
      </c>
      <c r="AT754" s="37"/>
      <c r="AU754" s="37"/>
      <c r="AV754" s="37"/>
      <c r="AW754" s="37"/>
      <c r="AX754" s="37"/>
    </row>
    <row r="755" spans="1:50" ht="20.100000000000001" customHeight="1" x14ac:dyDescent="0.25">
      <c r="A755" s="37"/>
      <c r="B755" s="58"/>
      <c r="C755" s="37"/>
      <c r="D755" s="97"/>
      <c r="E755" s="98"/>
      <c r="F755" s="101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3"/>
      <c r="T755" s="83"/>
      <c r="U755" s="85"/>
      <c r="V755" s="83"/>
      <c r="W755" s="85"/>
      <c r="X755" s="97"/>
      <c r="Y755" s="100"/>
      <c r="Z755" s="100"/>
      <c r="AA755" s="100"/>
      <c r="AB755" s="100"/>
      <c r="AC755" s="100"/>
      <c r="AD755" s="98"/>
      <c r="AE755" s="83"/>
      <c r="AF755" s="84"/>
      <c r="AG755" s="85"/>
      <c r="AH755" s="83"/>
      <c r="AI755" s="84"/>
      <c r="AJ755" s="84"/>
      <c r="AK755" s="85"/>
      <c r="AL755" s="83"/>
      <c r="AM755" s="84"/>
      <c r="AN755" s="85"/>
      <c r="AO755" s="60"/>
      <c r="AP755" s="61"/>
      <c r="AQ755" s="77">
        <f t="shared" si="23"/>
        <v>0</v>
      </c>
      <c r="AR755" s="37"/>
      <c r="AS755" s="78">
        <f t="shared" si="24"/>
        <v>0</v>
      </c>
      <c r="AT755" s="37"/>
      <c r="AU755" s="37"/>
      <c r="AV755" s="37"/>
      <c r="AW755" s="37"/>
      <c r="AX755" s="37"/>
    </row>
    <row r="756" spans="1:50" ht="20.100000000000001" customHeight="1" x14ac:dyDescent="0.25">
      <c r="A756" s="37"/>
      <c r="B756" s="58"/>
      <c r="C756" s="37"/>
      <c r="D756" s="97"/>
      <c r="E756" s="98"/>
      <c r="F756" s="101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3"/>
      <c r="T756" s="83"/>
      <c r="U756" s="85"/>
      <c r="V756" s="83"/>
      <c r="W756" s="85"/>
      <c r="X756" s="97"/>
      <c r="Y756" s="100"/>
      <c r="Z756" s="100"/>
      <c r="AA756" s="100"/>
      <c r="AB756" s="100"/>
      <c r="AC756" s="100"/>
      <c r="AD756" s="98"/>
      <c r="AE756" s="83"/>
      <c r="AF756" s="84"/>
      <c r="AG756" s="85"/>
      <c r="AH756" s="83"/>
      <c r="AI756" s="84"/>
      <c r="AJ756" s="84"/>
      <c r="AK756" s="85"/>
      <c r="AL756" s="83"/>
      <c r="AM756" s="84"/>
      <c r="AN756" s="85"/>
      <c r="AO756" s="60"/>
      <c r="AP756" s="61"/>
      <c r="AQ756" s="77">
        <f t="shared" si="23"/>
        <v>0</v>
      </c>
      <c r="AR756" s="37"/>
      <c r="AS756" s="78">
        <f t="shared" si="24"/>
        <v>0</v>
      </c>
      <c r="AT756" s="37"/>
      <c r="AU756" s="37"/>
      <c r="AV756" s="37"/>
      <c r="AW756" s="37"/>
      <c r="AX756" s="37"/>
    </row>
    <row r="757" spans="1:50" ht="20.100000000000001" customHeight="1" x14ac:dyDescent="0.25">
      <c r="A757" s="37"/>
      <c r="B757" s="58"/>
      <c r="C757" s="37"/>
      <c r="D757" s="97"/>
      <c r="E757" s="98"/>
      <c r="F757" s="101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3"/>
      <c r="T757" s="83"/>
      <c r="U757" s="85"/>
      <c r="V757" s="83"/>
      <c r="W757" s="85"/>
      <c r="X757" s="97"/>
      <c r="Y757" s="100"/>
      <c r="Z757" s="100"/>
      <c r="AA757" s="100"/>
      <c r="AB757" s="100"/>
      <c r="AC757" s="100"/>
      <c r="AD757" s="98"/>
      <c r="AE757" s="83"/>
      <c r="AF757" s="84"/>
      <c r="AG757" s="85"/>
      <c r="AH757" s="83"/>
      <c r="AI757" s="84"/>
      <c r="AJ757" s="84"/>
      <c r="AK757" s="85"/>
      <c r="AL757" s="83"/>
      <c r="AM757" s="84"/>
      <c r="AN757" s="85"/>
      <c r="AO757" s="60"/>
      <c r="AP757" s="61"/>
      <c r="AQ757" s="77">
        <f t="shared" si="23"/>
        <v>0</v>
      </c>
      <c r="AR757" s="37"/>
      <c r="AS757" s="78">
        <f t="shared" si="24"/>
        <v>0</v>
      </c>
      <c r="AT757" s="37"/>
      <c r="AU757" s="37"/>
      <c r="AV757" s="37"/>
      <c r="AW757" s="37"/>
      <c r="AX757" s="37"/>
    </row>
    <row r="758" spans="1:50" ht="20.100000000000001" customHeight="1" x14ac:dyDescent="0.25">
      <c r="A758" s="37"/>
      <c r="B758" s="58"/>
      <c r="C758" s="37"/>
      <c r="D758" s="97"/>
      <c r="E758" s="98"/>
      <c r="F758" s="101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3"/>
      <c r="T758" s="83"/>
      <c r="U758" s="85"/>
      <c r="V758" s="83"/>
      <c r="W758" s="85"/>
      <c r="X758" s="97"/>
      <c r="Y758" s="100"/>
      <c r="Z758" s="100"/>
      <c r="AA758" s="100"/>
      <c r="AB758" s="100"/>
      <c r="AC758" s="100"/>
      <c r="AD758" s="98"/>
      <c r="AE758" s="83"/>
      <c r="AF758" s="84"/>
      <c r="AG758" s="85"/>
      <c r="AH758" s="83"/>
      <c r="AI758" s="84"/>
      <c r="AJ758" s="84"/>
      <c r="AK758" s="85"/>
      <c r="AL758" s="83"/>
      <c r="AM758" s="84"/>
      <c r="AN758" s="85"/>
      <c r="AO758" s="60"/>
      <c r="AP758" s="61"/>
      <c r="AQ758" s="77">
        <f t="shared" si="23"/>
        <v>0</v>
      </c>
      <c r="AR758" s="37"/>
      <c r="AS758" s="78">
        <f t="shared" si="24"/>
        <v>0</v>
      </c>
      <c r="AT758" s="37"/>
      <c r="AU758" s="37"/>
      <c r="AV758" s="37"/>
      <c r="AW758" s="37"/>
      <c r="AX758" s="37"/>
    </row>
    <row r="759" spans="1:50" ht="20.100000000000001" customHeight="1" x14ac:dyDescent="0.25">
      <c r="A759" s="37"/>
      <c r="B759" s="58"/>
      <c r="C759" s="37"/>
      <c r="D759" s="97"/>
      <c r="E759" s="98"/>
      <c r="F759" s="101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3"/>
      <c r="T759" s="83"/>
      <c r="U759" s="85"/>
      <c r="V759" s="83"/>
      <c r="W759" s="85"/>
      <c r="X759" s="97"/>
      <c r="Y759" s="100"/>
      <c r="Z759" s="100"/>
      <c r="AA759" s="100"/>
      <c r="AB759" s="100"/>
      <c r="AC759" s="100"/>
      <c r="AD759" s="98"/>
      <c r="AE759" s="83"/>
      <c r="AF759" s="84"/>
      <c r="AG759" s="85"/>
      <c r="AH759" s="83"/>
      <c r="AI759" s="84"/>
      <c r="AJ759" s="84"/>
      <c r="AK759" s="85"/>
      <c r="AL759" s="83"/>
      <c r="AM759" s="84"/>
      <c r="AN759" s="85"/>
      <c r="AO759" s="60"/>
      <c r="AP759" s="61"/>
      <c r="AQ759" s="77">
        <f t="shared" si="23"/>
        <v>0</v>
      </c>
      <c r="AR759" s="37"/>
      <c r="AS759" s="78">
        <f t="shared" si="24"/>
        <v>0</v>
      </c>
      <c r="AT759" s="37"/>
      <c r="AU759" s="37"/>
      <c r="AV759" s="37"/>
      <c r="AW759" s="37"/>
      <c r="AX759" s="37"/>
    </row>
    <row r="760" spans="1:50" ht="20.100000000000001" customHeight="1" x14ac:dyDescent="0.25">
      <c r="A760" s="37"/>
      <c r="B760" s="58"/>
      <c r="C760" s="37"/>
      <c r="D760" s="97"/>
      <c r="E760" s="98"/>
      <c r="F760" s="101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3"/>
      <c r="T760" s="83"/>
      <c r="U760" s="85"/>
      <c r="V760" s="83"/>
      <c r="W760" s="85"/>
      <c r="X760" s="97"/>
      <c r="Y760" s="100"/>
      <c r="Z760" s="100"/>
      <c r="AA760" s="100"/>
      <c r="AB760" s="100"/>
      <c r="AC760" s="100"/>
      <c r="AD760" s="98"/>
      <c r="AE760" s="83"/>
      <c r="AF760" s="84"/>
      <c r="AG760" s="85"/>
      <c r="AH760" s="83"/>
      <c r="AI760" s="84"/>
      <c r="AJ760" s="84"/>
      <c r="AK760" s="85"/>
      <c r="AL760" s="83"/>
      <c r="AM760" s="84"/>
      <c r="AN760" s="85"/>
      <c r="AO760" s="60"/>
      <c r="AP760" s="61"/>
      <c r="AQ760" s="77">
        <f t="shared" si="23"/>
        <v>0</v>
      </c>
      <c r="AR760" s="37"/>
      <c r="AS760" s="78">
        <f t="shared" si="24"/>
        <v>0</v>
      </c>
      <c r="AT760" s="37"/>
      <c r="AU760" s="37"/>
      <c r="AV760" s="37"/>
      <c r="AW760" s="37"/>
      <c r="AX760" s="37"/>
    </row>
    <row r="761" spans="1:50" ht="20.100000000000001" customHeight="1" x14ac:dyDescent="0.25">
      <c r="A761" s="37"/>
      <c r="B761" s="58"/>
      <c r="C761" s="37"/>
      <c r="D761" s="97"/>
      <c r="E761" s="98"/>
      <c r="F761" s="101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3"/>
      <c r="T761" s="83"/>
      <c r="U761" s="85"/>
      <c r="V761" s="83"/>
      <c r="W761" s="85"/>
      <c r="X761" s="97"/>
      <c r="Y761" s="100"/>
      <c r="Z761" s="100"/>
      <c r="AA761" s="100"/>
      <c r="AB761" s="100"/>
      <c r="AC761" s="100"/>
      <c r="AD761" s="98"/>
      <c r="AE761" s="83"/>
      <c r="AF761" s="84"/>
      <c r="AG761" s="85"/>
      <c r="AH761" s="83"/>
      <c r="AI761" s="84"/>
      <c r="AJ761" s="84"/>
      <c r="AK761" s="85"/>
      <c r="AL761" s="83"/>
      <c r="AM761" s="84"/>
      <c r="AN761" s="85"/>
      <c r="AO761" s="60"/>
      <c r="AP761" s="61"/>
      <c r="AQ761" s="77">
        <f t="shared" si="23"/>
        <v>0</v>
      </c>
      <c r="AR761" s="37"/>
      <c r="AS761" s="78">
        <f t="shared" si="24"/>
        <v>0</v>
      </c>
      <c r="AT761" s="37"/>
      <c r="AU761" s="37"/>
      <c r="AV761" s="37"/>
      <c r="AW761" s="37"/>
      <c r="AX761" s="37"/>
    </row>
    <row r="762" spans="1:50" ht="20.100000000000001" customHeight="1" x14ac:dyDescent="0.25">
      <c r="A762" s="37"/>
      <c r="B762" s="58"/>
      <c r="C762" s="37"/>
      <c r="D762" s="97"/>
      <c r="E762" s="98"/>
      <c r="F762" s="101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3"/>
      <c r="T762" s="83"/>
      <c r="U762" s="85"/>
      <c r="V762" s="83"/>
      <c r="W762" s="85"/>
      <c r="X762" s="97"/>
      <c r="Y762" s="100"/>
      <c r="Z762" s="100"/>
      <c r="AA762" s="100"/>
      <c r="AB762" s="100"/>
      <c r="AC762" s="100"/>
      <c r="AD762" s="98"/>
      <c r="AE762" s="83"/>
      <c r="AF762" s="84"/>
      <c r="AG762" s="85"/>
      <c r="AH762" s="83"/>
      <c r="AI762" s="84"/>
      <c r="AJ762" s="84"/>
      <c r="AK762" s="85"/>
      <c r="AL762" s="83"/>
      <c r="AM762" s="84"/>
      <c r="AN762" s="85"/>
      <c r="AO762" s="60"/>
      <c r="AP762" s="61"/>
      <c r="AQ762" s="77">
        <f t="shared" si="23"/>
        <v>0</v>
      </c>
      <c r="AR762" s="37"/>
      <c r="AS762" s="78">
        <f t="shared" si="24"/>
        <v>0</v>
      </c>
      <c r="AT762" s="37"/>
      <c r="AU762" s="37"/>
      <c r="AV762" s="37"/>
      <c r="AW762" s="37"/>
      <c r="AX762" s="37"/>
    </row>
    <row r="763" spans="1:50" ht="20.100000000000001" customHeight="1" x14ac:dyDescent="0.25">
      <c r="A763" s="37"/>
      <c r="B763" s="58"/>
      <c r="C763" s="37"/>
      <c r="D763" s="97"/>
      <c r="E763" s="98"/>
      <c r="F763" s="101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3"/>
      <c r="T763" s="83"/>
      <c r="U763" s="85"/>
      <c r="V763" s="83"/>
      <c r="W763" s="85"/>
      <c r="X763" s="97"/>
      <c r="Y763" s="100"/>
      <c r="Z763" s="100"/>
      <c r="AA763" s="100"/>
      <c r="AB763" s="100"/>
      <c r="AC763" s="100"/>
      <c r="AD763" s="98"/>
      <c r="AE763" s="83"/>
      <c r="AF763" s="84"/>
      <c r="AG763" s="85"/>
      <c r="AH763" s="83"/>
      <c r="AI763" s="84"/>
      <c r="AJ763" s="84"/>
      <c r="AK763" s="85"/>
      <c r="AL763" s="83"/>
      <c r="AM763" s="84"/>
      <c r="AN763" s="85"/>
      <c r="AO763" s="60"/>
      <c r="AP763" s="61"/>
      <c r="AQ763" s="77">
        <f t="shared" si="23"/>
        <v>0</v>
      </c>
      <c r="AR763" s="37"/>
      <c r="AS763" s="78">
        <f t="shared" si="24"/>
        <v>0</v>
      </c>
      <c r="AT763" s="37"/>
      <c r="AU763" s="37"/>
      <c r="AV763" s="37"/>
      <c r="AW763" s="37"/>
      <c r="AX763" s="37"/>
    </row>
    <row r="764" spans="1:50" ht="20.100000000000001" customHeight="1" x14ac:dyDescent="0.25">
      <c r="A764" s="37"/>
      <c r="B764" s="58"/>
      <c r="C764" s="37"/>
      <c r="D764" s="97"/>
      <c r="E764" s="98"/>
      <c r="F764" s="101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3"/>
      <c r="T764" s="83"/>
      <c r="U764" s="85"/>
      <c r="V764" s="83"/>
      <c r="W764" s="85"/>
      <c r="X764" s="97"/>
      <c r="Y764" s="100"/>
      <c r="Z764" s="100"/>
      <c r="AA764" s="100"/>
      <c r="AB764" s="100"/>
      <c r="AC764" s="100"/>
      <c r="AD764" s="98"/>
      <c r="AE764" s="83"/>
      <c r="AF764" s="84"/>
      <c r="AG764" s="85"/>
      <c r="AH764" s="83"/>
      <c r="AI764" s="84"/>
      <c r="AJ764" s="84"/>
      <c r="AK764" s="85"/>
      <c r="AL764" s="83"/>
      <c r="AM764" s="84"/>
      <c r="AN764" s="85"/>
      <c r="AO764" s="60"/>
      <c r="AP764" s="61"/>
      <c r="AQ764" s="77">
        <f t="shared" si="23"/>
        <v>0</v>
      </c>
      <c r="AR764" s="37"/>
      <c r="AS764" s="78">
        <f t="shared" si="24"/>
        <v>0</v>
      </c>
      <c r="AT764" s="37"/>
      <c r="AU764" s="37"/>
      <c r="AV764" s="37"/>
      <c r="AW764" s="37"/>
      <c r="AX764" s="37"/>
    </row>
    <row r="765" spans="1:50" ht="20.100000000000001" customHeight="1" x14ac:dyDescent="0.25">
      <c r="A765" s="37"/>
      <c r="B765" s="58"/>
      <c r="C765" s="37"/>
      <c r="D765" s="97"/>
      <c r="E765" s="98"/>
      <c r="F765" s="101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3"/>
      <c r="T765" s="83"/>
      <c r="U765" s="85"/>
      <c r="V765" s="83"/>
      <c r="W765" s="85"/>
      <c r="X765" s="97"/>
      <c r="Y765" s="100"/>
      <c r="Z765" s="100"/>
      <c r="AA765" s="100"/>
      <c r="AB765" s="100"/>
      <c r="AC765" s="100"/>
      <c r="AD765" s="98"/>
      <c r="AE765" s="83"/>
      <c r="AF765" s="84"/>
      <c r="AG765" s="85"/>
      <c r="AH765" s="83"/>
      <c r="AI765" s="84"/>
      <c r="AJ765" s="84"/>
      <c r="AK765" s="85"/>
      <c r="AL765" s="83"/>
      <c r="AM765" s="84"/>
      <c r="AN765" s="85"/>
      <c r="AO765" s="60"/>
      <c r="AP765" s="61"/>
      <c r="AQ765" s="77">
        <f t="shared" si="23"/>
        <v>0</v>
      </c>
      <c r="AR765" s="37"/>
      <c r="AS765" s="78">
        <f t="shared" si="24"/>
        <v>0</v>
      </c>
      <c r="AT765" s="37"/>
      <c r="AU765" s="37"/>
      <c r="AV765" s="37"/>
      <c r="AW765" s="37"/>
      <c r="AX765" s="37"/>
    </row>
    <row r="766" spans="1:50" ht="20.100000000000001" customHeight="1" x14ac:dyDescent="0.25">
      <c r="A766" s="37"/>
      <c r="B766" s="58"/>
      <c r="C766" s="37"/>
      <c r="D766" s="97"/>
      <c r="E766" s="98"/>
      <c r="F766" s="101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3"/>
      <c r="T766" s="83"/>
      <c r="U766" s="85"/>
      <c r="V766" s="83"/>
      <c r="W766" s="85"/>
      <c r="X766" s="97"/>
      <c r="Y766" s="100"/>
      <c r="Z766" s="100"/>
      <c r="AA766" s="100"/>
      <c r="AB766" s="100"/>
      <c r="AC766" s="100"/>
      <c r="AD766" s="98"/>
      <c r="AE766" s="83"/>
      <c r="AF766" s="84"/>
      <c r="AG766" s="85"/>
      <c r="AH766" s="83"/>
      <c r="AI766" s="84"/>
      <c r="AJ766" s="84"/>
      <c r="AK766" s="85"/>
      <c r="AL766" s="83"/>
      <c r="AM766" s="84"/>
      <c r="AN766" s="85"/>
      <c r="AO766" s="60"/>
      <c r="AP766" s="61"/>
      <c r="AQ766" s="77">
        <f t="shared" si="23"/>
        <v>0</v>
      </c>
      <c r="AR766" s="37"/>
      <c r="AS766" s="78">
        <f t="shared" si="24"/>
        <v>0</v>
      </c>
      <c r="AT766" s="37"/>
      <c r="AU766" s="37"/>
      <c r="AV766" s="37"/>
      <c r="AW766" s="37"/>
      <c r="AX766" s="37"/>
    </row>
    <row r="767" spans="1:50" ht="20.100000000000001" customHeight="1" x14ac:dyDescent="0.25">
      <c r="A767" s="37"/>
      <c r="B767" s="58"/>
      <c r="C767" s="37"/>
      <c r="D767" s="97"/>
      <c r="E767" s="98"/>
      <c r="F767" s="101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3"/>
      <c r="T767" s="83"/>
      <c r="U767" s="85"/>
      <c r="V767" s="83"/>
      <c r="W767" s="85"/>
      <c r="X767" s="97"/>
      <c r="Y767" s="100"/>
      <c r="Z767" s="100"/>
      <c r="AA767" s="100"/>
      <c r="AB767" s="100"/>
      <c r="AC767" s="100"/>
      <c r="AD767" s="98"/>
      <c r="AE767" s="83"/>
      <c r="AF767" s="84"/>
      <c r="AG767" s="85"/>
      <c r="AH767" s="83"/>
      <c r="AI767" s="84"/>
      <c r="AJ767" s="84"/>
      <c r="AK767" s="85"/>
      <c r="AL767" s="83"/>
      <c r="AM767" s="84"/>
      <c r="AN767" s="85"/>
      <c r="AO767" s="60"/>
      <c r="AP767" s="61"/>
      <c r="AQ767" s="77">
        <f t="shared" si="23"/>
        <v>0</v>
      </c>
      <c r="AR767" s="37"/>
      <c r="AS767" s="78">
        <f t="shared" si="24"/>
        <v>0</v>
      </c>
      <c r="AT767" s="37"/>
      <c r="AU767" s="37"/>
      <c r="AV767" s="37"/>
      <c r="AW767" s="37"/>
      <c r="AX767" s="37"/>
    </row>
    <row r="768" spans="1:50" ht="20.100000000000001" customHeight="1" x14ac:dyDescent="0.25">
      <c r="A768" s="37"/>
      <c r="B768" s="58"/>
      <c r="C768" s="37"/>
      <c r="D768" s="97"/>
      <c r="E768" s="98"/>
      <c r="F768" s="101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3"/>
      <c r="T768" s="83"/>
      <c r="U768" s="85"/>
      <c r="V768" s="83"/>
      <c r="W768" s="85"/>
      <c r="X768" s="97"/>
      <c r="Y768" s="100"/>
      <c r="Z768" s="100"/>
      <c r="AA768" s="100"/>
      <c r="AB768" s="100"/>
      <c r="AC768" s="100"/>
      <c r="AD768" s="98"/>
      <c r="AE768" s="83"/>
      <c r="AF768" s="84"/>
      <c r="AG768" s="85"/>
      <c r="AH768" s="83"/>
      <c r="AI768" s="84"/>
      <c r="AJ768" s="84"/>
      <c r="AK768" s="85"/>
      <c r="AL768" s="83"/>
      <c r="AM768" s="84"/>
      <c r="AN768" s="85"/>
      <c r="AO768" s="60"/>
      <c r="AP768" s="61"/>
      <c r="AQ768" s="77">
        <f t="shared" si="23"/>
        <v>0</v>
      </c>
      <c r="AR768" s="37"/>
      <c r="AS768" s="78">
        <f t="shared" si="24"/>
        <v>0</v>
      </c>
      <c r="AT768" s="37"/>
      <c r="AU768" s="37"/>
      <c r="AV768" s="37"/>
      <c r="AW768" s="37"/>
      <c r="AX768" s="37"/>
    </row>
    <row r="769" spans="1:50" ht="20.100000000000001" customHeight="1" x14ac:dyDescent="0.25">
      <c r="A769" s="37"/>
      <c r="B769" s="58"/>
      <c r="C769" s="37"/>
      <c r="D769" s="97"/>
      <c r="E769" s="98"/>
      <c r="F769" s="101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3"/>
      <c r="T769" s="83"/>
      <c r="U769" s="85"/>
      <c r="V769" s="83"/>
      <c r="W769" s="85"/>
      <c r="X769" s="97"/>
      <c r="Y769" s="100"/>
      <c r="Z769" s="100"/>
      <c r="AA769" s="100"/>
      <c r="AB769" s="100"/>
      <c r="AC769" s="100"/>
      <c r="AD769" s="98"/>
      <c r="AE769" s="83"/>
      <c r="AF769" s="84"/>
      <c r="AG769" s="85"/>
      <c r="AH769" s="83"/>
      <c r="AI769" s="84"/>
      <c r="AJ769" s="84"/>
      <c r="AK769" s="85"/>
      <c r="AL769" s="83"/>
      <c r="AM769" s="84"/>
      <c r="AN769" s="85"/>
      <c r="AO769" s="60"/>
      <c r="AP769" s="61"/>
      <c r="AQ769" s="77">
        <f t="shared" si="23"/>
        <v>0</v>
      </c>
      <c r="AR769" s="37"/>
      <c r="AS769" s="78">
        <f t="shared" si="24"/>
        <v>0</v>
      </c>
      <c r="AT769" s="37"/>
      <c r="AU769" s="37"/>
      <c r="AV769" s="37"/>
      <c r="AW769" s="37"/>
      <c r="AX769" s="37"/>
    </row>
    <row r="770" spans="1:50" ht="20.100000000000001" customHeight="1" x14ac:dyDescent="0.25">
      <c r="A770" s="37"/>
      <c r="B770" s="58"/>
      <c r="C770" s="37"/>
      <c r="D770" s="97"/>
      <c r="E770" s="98"/>
      <c r="F770" s="101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3"/>
      <c r="T770" s="83"/>
      <c r="U770" s="85"/>
      <c r="V770" s="83"/>
      <c r="W770" s="85"/>
      <c r="X770" s="97"/>
      <c r="Y770" s="100"/>
      <c r="Z770" s="100"/>
      <c r="AA770" s="100"/>
      <c r="AB770" s="100"/>
      <c r="AC770" s="100"/>
      <c r="AD770" s="98"/>
      <c r="AE770" s="83"/>
      <c r="AF770" s="84"/>
      <c r="AG770" s="85"/>
      <c r="AH770" s="83"/>
      <c r="AI770" s="84"/>
      <c r="AJ770" s="84"/>
      <c r="AK770" s="85"/>
      <c r="AL770" s="83"/>
      <c r="AM770" s="84"/>
      <c r="AN770" s="85"/>
      <c r="AO770" s="60"/>
      <c r="AP770" s="61"/>
      <c r="AQ770" s="77">
        <f t="shared" si="23"/>
        <v>0</v>
      </c>
      <c r="AR770" s="37"/>
      <c r="AS770" s="78">
        <f t="shared" si="24"/>
        <v>0</v>
      </c>
      <c r="AT770" s="37"/>
      <c r="AU770" s="37"/>
      <c r="AV770" s="37"/>
      <c r="AW770" s="37"/>
      <c r="AX770" s="37"/>
    </row>
    <row r="771" spans="1:50" ht="20.100000000000001" customHeight="1" x14ac:dyDescent="0.25">
      <c r="A771" s="37"/>
      <c r="B771" s="58"/>
      <c r="C771" s="37"/>
      <c r="D771" s="97"/>
      <c r="E771" s="98"/>
      <c r="F771" s="101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3"/>
      <c r="T771" s="83"/>
      <c r="U771" s="85"/>
      <c r="V771" s="83"/>
      <c r="W771" s="85"/>
      <c r="X771" s="97"/>
      <c r="Y771" s="100"/>
      <c r="Z771" s="100"/>
      <c r="AA771" s="100"/>
      <c r="AB771" s="100"/>
      <c r="AC771" s="100"/>
      <c r="AD771" s="98"/>
      <c r="AE771" s="83"/>
      <c r="AF771" s="84"/>
      <c r="AG771" s="85"/>
      <c r="AH771" s="83"/>
      <c r="AI771" s="84"/>
      <c r="AJ771" s="84"/>
      <c r="AK771" s="85"/>
      <c r="AL771" s="83"/>
      <c r="AM771" s="84"/>
      <c r="AN771" s="85"/>
      <c r="AO771" s="60"/>
      <c r="AP771" s="61"/>
      <c r="AQ771" s="77">
        <f t="shared" si="23"/>
        <v>0</v>
      </c>
      <c r="AR771" s="37"/>
      <c r="AS771" s="78">
        <f t="shared" si="24"/>
        <v>0</v>
      </c>
      <c r="AT771" s="37"/>
      <c r="AU771" s="37"/>
      <c r="AV771" s="37"/>
      <c r="AW771" s="37"/>
      <c r="AX771" s="37"/>
    </row>
    <row r="772" spans="1:50" ht="20.100000000000001" customHeight="1" x14ac:dyDescent="0.25">
      <c r="A772" s="37"/>
      <c r="B772" s="58"/>
      <c r="C772" s="37"/>
      <c r="D772" s="97"/>
      <c r="E772" s="98"/>
      <c r="F772" s="101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3"/>
      <c r="T772" s="83"/>
      <c r="U772" s="85"/>
      <c r="V772" s="83"/>
      <c r="W772" s="85"/>
      <c r="X772" s="97"/>
      <c r="Y772" s="100"/>
      <c r="Z772" s="100"/>
      <c r="AA772" s="100"/>
      <c r="AB772" s="100"/>
      <c r="AC772" s="100"/>
      <c r="AD772" s="98"/>
      <c r="AE772" s="83"/>
      <c r="AF772" s="84"/>
      <c r="AG772" s="85"/>
      <c r="AH772" s="83"/>
      <c r="AI772" s="84"/>
      <c r="AJ772" s="84"/>
      <c r="AK772" s="85"/>
      <c r="AL772" s="83"/>
      <c r="AM772" s="84"/>
      <c r="AN772" s="85"/>
      <c r="AO772" s="60"/>
      <c r="AP772" s="61"/>
      <c r="AQ772" s="77">
        <f t="shared" si="23"/>
        <v>0</v>
      </c>
      <c r="AR772" s="37"/>
      <c r="AS772" s="78">
        <f t="shared" si="24"/>
        <v>0</v>
      </c>
      <c r="AT772" s="37"/>
      <c r="AU772" s="37"/>
      <c r="AV772" s="37"/>
      <c r="AW772" s="37"/>
      <c r="AX772" s="37"/>
    </row>
    <row r="773" spans="1:50" ht="20.100000000000001" customHeight="1" x14ac:dyDescent="0.25">
      <c r="A773" s="37"/>
      <c r="B773" s="58"/>
      <c r="C773" s="37"/>
      <c r="D773" s="97"/>
      <c r="E773" s="98"/>
      <c r="F773" s="101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3"/>
      <c r="T773" s="83"/>
      <c r="U773" s="85"/>
      <c r="V773" s="83"/>
      <c r="W773" s="85"/>
      <c r="X773" s="97"/>
      <c r="Y773" s="100"/>
      <c r="Z773" s="100"/>
      <c r="AA773" s="100"/>
      <c r="AB773" s="100"/>
      <c r="AC773" s="100"/>
      <c r="AD773" s="98"/>
      <c r="AE773" s="83"/>
      <c r="AF773" s="84"/>
      <c r="AG773" s="85"/>
      <c r="AH773" s="83"/>
      <c r="AI773" s="84"/>
      <c r="AJ773" s="84"/>
      <c r="AK773" s="85"/>
      <c r="AL773" s="83"/>
      <c r="AM773" s="84"/>
      <c r="AN773" s="85"/>
      <c r="AO773" s="60"/>
      <c r="AP773" s="61"/>
      <c r="AQ773" s="77">
        <f t="shared" si="23"/>
        <v>0</v>
      </c>
      <c r="AR773" s="37"/>
      <c r="AS773" s="78">
        <f t="shared" si="24"/>
        <v>0</v>
      </c>
      <c r="AT773" s="37"/>
      <c r="AU773" s="37"/>
      <c r="AV773" s="37"/>
      <c r="AW773" s="37"/>
      <c r="AX773" s="37"/>
    </row>
    <row r="774" spans="1:50" ht="20.100000000000001" customHeight="1" x14ac:dyDescent="0.25">
      <c r="A774" s="37"/>
      <c r="B774" s="58"/>
      <c r="C774" s="37"/>
      <c r="D774" s="97"/>
      <c r="E774" s="98"/>
      <c r="F774" s="101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3"/>
      <c r="T774" s="83"/>
      <c r="U774" s="85"/>
      <c r="V774" s="83"/>
      <c r="W774" s="85"/>
      <c r="X774" s="97"/>
      <c r="Y774" s="100"/>
      <c r="Z774" s="100"/>
      <c r="AA774" s="100"/>
      <c r="AB774" s="100"/>
      <c r="AC774" s="100"/>
      <c r="AD774" s="98"/>
      <c r="AE774" s="83"/>
      <c r="AF774" s="84"/>
      <c r="AG774" s="85"/>
      <c r="AH774" s="83"/>
      <c r="AI774" s="84"/>
      <c r="AJ774" s="84"/>
      <c r="AK774" s="85"/>
      <c r="AL774" s="83"/>
      <c r="AM774" s="84"/>
      <c r="AN774" s="85"/>
      <c r="AO774" s="60"/>
      <c r="AP774" s="61"/>
      <c r="AQ774" s="77">
        <f t="shared" ref="AQ774:AQ837" si="25">AP774-B774</f>
        <v>0</v>
      </c>
      <c r="AR774" s="37"/>
      <c r="AS774" s="78">
        <f t="shared" si="24"/>
        <v>0</v>
      </c>
      <c r="AT774" s="37"/>
      <c r="AU774" s="37"/>
      <c r="AV774" s="37"/>
      <c r="AW774" s="37"/>
      <c r="AX774" s="37"/>
    </row>
    <row r="775" spans="1:50" ht="20.100000000000001" customHeight="1" x14ac:dyDescent="0.25">
      <c r="A775" s="37"/>
      <c r="B775" s="58"/>
      <c r="C775" s="37"/>
      <c r="D775" s="97"/>
      <c r="E775" s="98"/>
      <c r="F775" s="101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3"/>
      <c r="T775" s="83"/>
      <c r="U775" s="85"/>
      <c r="V775" s="83"/>
      <c r="W775" s="85"/>
      <c r="X775" s="97"/>
      <c r="Y775" s="100"/>
      <c r="Z775" s="100"/>
      <c r="AA775" s="100"/>
      <c r="AB775" s="100"/>
      <c r="AC775" s="100"/>
      <c r="AD775" s="98"/>
      <c r="AE775" s="83"/>
      <c r="AF775" s="84"/>
      <c r="AG775" s="85"/>
      <c r="AH775" s="83"/>
      <c r="AI775" s="84"/>
      <c r="AJ775" s="84"/>
      <c r="AK775" s="85"/>
      <c r="AL775" s="83"/>
      <c r="AM775" s="84"/>
      <c r="AN775" s="85"/>
      <c r="AO775" s="60"/>
      <c r="AP775" s="61"/>
      <c r="AQ775" s="77">
        <f t="shared" si="25"/>
        <v>0</v>
      </c>
      <c r="AR775" s="37"/>
      <c r="AS775" s="78">
        <f t="shared" ref="AS775:AS838" si="26">AP775-AR775</f>
        <v>0</v>
      </c>
      <c r="AT775" s="37"/>
      <c r="AU775" s="37"/>
      <c r="AV775" s="37"/>
      <c r="AW775" s="37"/>
      <c r="AX775" s="37"/>
    </row>
    <row r="776" spans="1:50" ht="20.100000000000001" customHeight="1" x14ac:dyDescent="0.25">
      <c r="A776" s="37"/>
      <c r="B776" s="58"/>
      <c r="C776" s="37"/>
      <c r="D776" s="97"/>
      <c r="E776" s="98"/>
      <c r="F776" s="101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3"/>
      <c r="T776" s="83"/>
      <c r="U776" s="85"/>
      <c r="V776" s="83"/>
      <c r="W776" s="85"/>
      <c r="X776" s="97"/>
      <c r="Y776" s="100"/>
      <c r="Z776" s="100"/>
      <c r="AA776" s="100"/>
      <c r="AB776" s="100"/>
      <c r="AC776" s="100"/>
      <c r="AD776" s="98"/>
      <c r="AE776" s="83"/>
      <c r="AF776" s="84"/>
      <c r="AG776" s="85"/>
      <c r="AH776" s="83"/>
      <c r="AI776" s="84"/>
      <c r="AJ776" s="84"/>
      <c r="AK776" s="85"/>
      <c r="AL776" s="83"/>
      <c r="AM776" s="84"/>
      <c r="AN776" s="85"/>
      <c r="AO776" s="60"/>
      <c r="AP776" s="61"/>
      <c r="AQ776" s="77">
        <f t="shared" si="25"/>
        <v>0</v>
      </c>
      <c r="AR776" s="37"/>
      <c r="AS776" s="78">
        <f t="shared" si="26"/>
        <v>0</v>
      </c>
      <c r="AT776" s="37"/>
      <c r="AU776" s="37"/>
      <c r="AV776" s="37"/>
      <c r="AW776" s="37"/>
      <c r="AX776" s="37"/>
    </row>
    <row r="777" spans="1:50" ht="20.100000000000001" customHeight="1" x14ac:dyDescent="0.25">
      <c r="A777" s="37"/>
      <c r="B777" s="58"/>
      <c r="C777" s="37"/>
      <c r="D777" s="97"/>
      <c r="E777" s="98"/>
      <c r="F777" s="101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3"/>
      <c r="T777" s="83"/>
      <c r="U777" s="85"/>
      <c r="V777" s="83"/>
      <c r="W777" s="85"/>
      <c r="X777" s="97"/>
      <c r="Y777" s="100"/>
      <c r="Z777" s="100"/>
      <c r="AA777" s="100"/>
      <c r="AB777" s="100"/>
      <c r="AC777" s="100"/>
      <c r="AD777" s="98"/>
      <c r="AE777" s="83"/>
      <c r="AF777" s="84"/>
      <c r="AG777" s="85"/>
      <c r="AH777" s="83"/>
      <c r="AI777" s="84"/>
      <c r="AJ777" s="84"/>
      <c r="AK777" s="85"/>
      <c r="AL777" s="83"/>
      <c r="AM777" s="84"/>
      <c r="AN777" s="85"/>
      <c r="AO777" s="60"/>
      <c r="AP777" s="61"/>
      <c r="AQ777" s="77">
        <f t="shared" si="25"/>
        <v>0</v>
      </c>
      <c r="AR777" s="37"/>
      <c r="AS777" s="78">
        <f t="shared" si="26"/>
        <v>0</v>
      </c>
      <c r="AT777" s="37"/>
      <c r="AU777" s="37"/>
      <c r="AV777" s="37"/>
      <c r="AW777" s="37"/>
      <c r="AX777" s="37"/>
    </row>
    <row r="778" spans="1:50" ht="20.100000000000001" customHeight="1" x14ac:dyDescent="0.25">
      <c r="A778" s="37"/>
      <c r="B778" s="58"/>
      <c r="C778" s="37"/>
      <c r="D778" s="97"/>
      <c r="E778" s="98"/>
      <c r="F778" s="101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3"/>
      <c r="T778" s="83"/>
      <c r="U778" s="85"/>
      <c r="V778" s="83"/>
      <c r="W778" s="85"/>
      <c r="X778" s="97"/>
      <c r="Y778" s="100"/>
      <c r="Z778" s="100"/>
      <c r="AA778" s="100"/>
      <c r="AB778" s="100"/>
      <c r="AC778" s="100"/>
      <c r="AD778" s="98"/>
      <c r="AE778" s="83"/>
      <c r="AF778" s="84"/>
      <c r="AG778" s="85"/>
      <c r="AH778" s="83"/>
      <c r="AI778" s="84"/>
      <c r="AJ778" s="84"/>
      <c r="AK778" s="85"/>
      <c r="AL778" s="83"/>
      <c r="AM778" s="84"/>
      <c r="AN778" s="85"/>
      <c r="AO778" s="60"/>
      <c r="AP778" s="61"/>
      <c r="AQ778" s="77">
        <f t="shared" si="25"/>
        <v>0</v>
      </c>
      <c r="AR778" s="37"/>
      <c r="AS778" s="78">
        <f t="shared" si="26"/>
        <v>0</v>
      </c>
      <c r="AT778" s="37"/>
      <c r="AU778" s="37"/>
      <c r="AV778" s="37"/>
      <c r="AW778" s="37"/>
      <c r="AX778" s="37"/>
    </row>
    <row r="779" spans="1:50" ht="20.100000000000001" customHeight="1" x14ac:dyDescent="0.25">
      <c r="A779" s="37"/>
      <c r="B779" s="58"/>
      <c r="C779" s="37"/>
      <c r="D779" s="97"/>
      <c r="E779" s="98"/>
      <c r="F779" s="101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3"/>
      <c r="T779" s="83"/>
      <c r="U779" s="85"/>
      <c r="V779" s="83"/>
      <c r="W779" s="85"/>
      <c r="X779" s="97"/>
      <c r="Y779" s="100"/>
      <c r="Z779" s="100"/>
      <c r="AA779" s="100"/>
      <c r="AB779" s="100"/>
      <c r="AC779" s="100"/>
      <c r="AD779" s="98"/>
      <c r="AE779" s="83"/>
      <c r="AF779" s="84"/>
      <c r="AG779" s="85"/>
      <c r="AH779" s="83"/>
      <c r="AI779" s="84"/>
      <c r="AJ779" s="84"/>
      <c r="AK779" s="85"/>
      <c r="AL779" s="83"/>
      <c r="AM779" s="84"/>
      <c r="AN779" s="85"/>
      <c r="AO779" s="60"/>
      <c r="AP779" s="61"/>
      <c r="AQ779" s="77">
        <f t="shared" si="25"/>
        <v>0</v>
      </c>
      <c r="AR779" s="37"/>
      <c r="AS779" s="78">
        <f t="shared" si="26"/>
        <v>0</v>
      </c>
      <c r="AT779" s="37"/>
      <c r="AU779" s="37"/>
      <c r="AV779" s="37"/>
      <c r="AW779" s="37"/>
      <c r="AX779" s="37"/>
    </row>
    <row r="780" spans="1:50" ht="20.100000000000001" customHeight="1" x14ac:dyDescent="0.25">
      <c r="A780" s="37"/>
      <c r="B780" s="58"/>
      <c r="C780" s="37"/>
      <c r="D780" s="97"/>
      <c r="E780" s="98"/>
      <c r="F780" s="101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3"/>
      <c r="T780" s="83"/>
      <c r="U780" s="85"/>
      <c r="V780" s="83"/>
      <c r="W780" s="85"/>
      <c r="X780" s="97"/>
      <c r="Y780" s="100"/>
      <c r="Z780" s="100"/>
      <c r="AA780" s="100"/>
      <c r="AB780" s="100"/>
      <c r="AC780" s="100"/>
      <c r="AD780" s="98"/>
      <c r="AE780" s="83"/>
      <c r="AF780" s="84"/>
      <c r="AG780" s="85"/>
      <c r="AH780" s="83"/>
      <c r="AI780" s="84"/>
      <c r="AJ780" s="84"/>
      <c r="AK780" s="85"/>
      <c r="AL780" s="83"/>
      <c r="AM780" s="84"/>
      <c r="AN780" s="85"/>
      <c r="AO780" s="60"/>
      <c r="AP780" s="61"/>
      <c r="AQ780" s="77">
        <f t="shared" si="25"/>
        <v>0</v>
      </c>
      <c r="AR780" s="37"/>
      <c r="AS780" s="78">
        <f t="shared" si="26"/>
        <v>0</v>
      </c>
      <c r="AT780" s="37"/>
      <c r="AU780" s="37"/>
      <c r="AV780" s="37"/>
      <c r="AW780" s="37"/>
      <c r="AX780" s="37"/>
    </row>
    <row r="781" spans="1:50" ht="20.100000000000001" customHeight="1" x14ac:dyDescent="0.25">
      <c r="A781" s="37"/>
      <c r="B781" s="58"/>
      <c r="C781" s="37"/>
      <c r="D781" s="97"/>
      <c r="E781" s="98"/>
      <c r="F781" s="101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3"/>
      <c r="T781" s="83"/>
      <c r="U781" s="85"/>
      <c r="V781" s="83"/>
      <c r="W781" s="85"/>
      <c r="X781" s="97"/>
      <c r="Y781" s="100"/>
      <c r="Z781" s="100"/>
      <c r="AA781" s="100"/>
      <c r="AB781" s="100"/>
      <c r="AC781" s="100"/>
      <c r="AD781" s="98"/>
      <c r="AE781" s="83"/>
      <c r="AF781" s="84"/>
      <c r="AG781" s="85"/>
      <c r="AH781" s="83"/>
      <c r="AI781" s="84"/>
      <c r="AJ781" s="84"/>
      <c r="AK781" s="85"/>
      <c r="AL781" s="83"/>
      <c r="AM781" s="84"/>
      <c r="AN781" s="85"/>
      <c r="AO781" s="60"/>
      <c r="AP781" s="61"/>
      <c r="AQ781" s="77">
        <f t="shared" si="25"/>
        <v>0</v>
      </c>
      <c r="AR781" s="37"/>
      <c r="AS781" s="78">
        <f t="shared" si="26"/>
        <v>0</v>
      </c>
      <c r="AT781" s="37"/>
      <c r="AU781" s="37"/>
      <c r="AV781" s="37"/>
      <c r="AW781" s="37"/>
      <c r="AX781" s="37"/>
    </row>
    <row r="782" spans="1:50" ht="20.100000000000001" customHeight="1" x14ac:dyDescent="0.25">
      <c r="A782" s="37"/>
      <c r="B782" s="58"/>
      <c r="C782" s="37"/>
      <c r="D782" s="97"/>
      <c r="E782" s="98"/>
      <c r="F782" s="101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3"/>
      <c r="T782" s="83"/>
      <c r="U782" s="85"/>
      <c r="V782" s="83"/>
      <c r="W782" s="85"/>
      <c r="X782" s="97"/>
      <c r="Y782" s="100"/>
      <c r="Z782" s="100"/>
      <c r="AA782" s="100"/>
      <c r="AB782" s="100"/>
      <c r="AC782" s="100"/>
      <c r="AD782" s="98"/>
      <c r="AE782" s="83"/>
      <c r="AF782" s="84"/>
      <c r="AG782" s="85"/>
      <c r="AH782" s="83"/>
      <c r="AI782" s="84"/>
      <c r="AJ782" s="84"/>
      <c r="AK782" s="85"/>
      <c r="AL782" s="83"/>
      <c r="AM782" s="84"/>
      <c r="AN782" s="85"/>
      <c r="AO782" s="60"/>
      <c r="AP782" s="61"/>
      <c r="AQ782" s="77">
        <f t="shared" si="25"/>
        <v>0</v>
      </c>
      <c r="AR782" s="37"/>
      <c r="AS782" s="78">
        <f t="shared" si="26"/>
        <v>0</v>
      </c>
      <c r="AT782" s="37"/>
      <c r="AU782" s="37"/>
      <c r="AV782" s="37"/>
      <c r="AW782" s="37"/>
      <c r="AX782" s="37"/>
    </row>
    <row r="783" spans="1:50" ht="20.100000000000001" customHeight="1" x14ac:dyDescent="0.25">
      <c r="A783" s="37"/>
      <c r="B783" s="58"/>
      <c r="C783" s="37"/>
      <c r="D783" s="97"/>
      <c r="E783" s="98"/>
      <c r="F783" s="101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3"/>
      <c r="T783" s="83"/>
      <c r="U783" s="85"/>
      <c r="V783" s="83"/>
      <c r="W783" s="85"/>
      <c r="X783" s="97"/>
      <c r="Y783" s="100"/>
      <c r="Z783" s="100"/>
      <c r="AA783" s="100"/>
      <c r="AB783" s="100"/>
      <c r="AC783" s="100"/>
      <c r="AD783" s="98"/>
      <c r="AE783" s="83"/>
      <c r="AF783" s="84"/>
      <c r="AG783" s="85"/>
      <c r="AH783" s="83"/>
      <c r="AI783" s="84"/>
      <c r="AJ783" s="84"/>
      <c r="AK783" s="85"/>
      <c r="AL783" s="83"/>
      <c r="AM783" s="84"/>
      <c r="AN783" s="85"/>
      <c r="AO783" s="60"/>
      <c r="AP783" s="61"/>
      <c r="AQ783" s="77">
        <f t="shared" si="25"/>
        <v>0</v>
      </c>
      <c r="AR783" s="37"/>
      <c r="AS783" s="78">
        <f t="shared" si="26"/>
        <v>0</v>
      </c>
      <c r="AT783" s="37"/>
      <c r="AU783" s="37"/>
      <c r="AV783" s="37"/>
      <c r="AW783" s="37"/>
      <c r="AX783" s="37"/>
    </row>
    <row r="784" spans="1:50" ht="20.100000000000001" customHeight="1" x14ac:dyDescent="0.25">
      <c r="A784" s="37"/>
      <c r="B784" s="58"/>
      <c r="C784" s="37"/>
      <c r="D784" s="97"/>
      <c r="E784" s="98"/>
      <c r="F784" s="101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3"/>
      <c r="T784" s="83"/>
      <c r="U784" s="85"/>
      <c r="V784" s="83"/>
      <c r="W784" s="85"/>
      <c r="X784" s="97"/>
      <c r="Y784" s="100"/>
      <c r="Z784" s="100"/>
      <c r="AA784" s="100"/>
      <c r="AB784" s="100"/>
      <c r="AC784" s="100"/>
      <c r="AD784" s="98"/>
      <c r="AE784" s="83"/>
      <c r="AF784" s="84"/>
      <c r="AG784" s="85"/>
      <c r="AH784" s="83"/>
      <c r="AI784" s="84"/>
      <c r="AJ784" s="84"/>
      <c r="AK784" s="85"/>
      <c r="AL784" s="83"/>
      <c r="AM784" s="84"/>
      <c r="AN784" s="85"/>
      <c r="AO784" s="60"/>
      <c r="AP784" s="61"/>
      <c r="AQ784" s="77">
        <f t="shared" si="25"/>
        <v>0</v>
      </c>
      <c r="AR784" s="37"/>
      <c r="AS784" s="78">
        <f t="shared" si="26"/>
        <v>0</v>
      </c>
      <c r="AT784" s="37"/>
      <c r="AU784" s="37"/>
      <c r="AV784" s="37"/>
      <c r="AW784" s="37"/>
      <c r="AX784" s="37"/>
    </row>
    <row r="785" spans="1:50" ht="20.100000000000001" customHeight="1" x14ac:dyDescent="0.25">
      <c r="A785" s="37"/>
      <c r="B785" s="58"/>
      <c r="C785" s="37"/>
      <c r="D785" s="97"/>
      <c r="E785" s="98"/>
      <c r="F785" s="101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3"/>
      <c r="T785" s="83"/>
      <c r="U785" s="85"/>
      <c r="V785" s="83"/>
      <c r="W785" s="85"/>
      <c r="X785" s="97"/>
      <c r="Y785" s="100"/>
      <c r="Z785" s="100"/>
      <c r="AA785" s="100"/>
      <c r="AB785" s="100"/>
      <c r="AC785" s="100"/>
      <c r="AD785" s="98"/>
      <c r="AE785" s="83"/>
      <c r="AF785" s="84"/>
      <c r="AG785" s="85"/>
      <c r="AH785" s="83"/>
      <c r="AI785" s="84"/>
      <c r="AJ785" s="84"/>
      <c r="AK785" s="85"/>
      <c r="AL785" s="83"/>
      <c r="AM785" s="84"/>
      <c r="AN785" s="85"/>
      <c r="AO785" s="60"/>
      <c r="AP785" s="61"/>
      <c r="AQ785" s="77">
        <f t="shared" si="25"/>
        <v>0</v>
      </c>
      <c r="AR785" s="37"/>
      <c r="AS785" s="78">
        <f t="shared" si="26"/>
        <v>0</v>
      </c>
      <c r="AT785" s="37"/>
      <c r="AU785" s="37"/>
      <c r="AV785" s="37"/>
      <c r="AW785" s="37"/>
      <c r="AX785" s="37"/>
    </row>
    <row r="786" spans="1:50" ht="20.100000000000001" customHeight="1" x14ac:dyDescent="0.25">
      <c r="A786" s="37"/>
      <c r="B786" s="58"/>
      <c r="C786" s="37"/>
      <c r="D786" s="97"/>
      <c r="E786" s="98"/>
      <c r="F786" s="101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3"/>
      <c r="T786" s="83"/>
      <c r="U786" s="85"/>
      <c r="V786" s="83"/>
      <c r="W786" s="85"/>
      <c r="X786" s="97"/>
      <c r="Y786" s="100"/>
      <c r="Z786" s="100"/>
      <c r="AA786" s="100"/>
      <c r="AB786" s="100"/>
      <c r="AC786" s="100"/>
      <c r="AD786" s="98"/>
      <c r="AE786" s="83"/>
      <c r="AF786" s="84"/>
      <c r="AG786" s="85"/>
      <c r="AH786" s="83"/>
      <c r="AI786" s="84"/>
      <c r="AJ786" s="84"/>
      <c r="AK786" s="85"/>
      <c r="AL786" s="83"/>
      <c r="AM786" s="84"/>
      <c r="AN786" s="85"/>
      <c r="AO786" s="60"/>
      <c r="AP786" s="61"/>
      <c r="AQ786" s="77">
        <f t="shared" si="25"/>
        <v>0</v>
      </c>
      <c r="AR786" s="37"/>
      <c r="AS786" s="78">
        <f t="shared" si="26"/>
        <v>0</v>
      </c>
      <c r="AT786" s="37"/>
      <c r="AU786" s="37"/>
      <c r="AV786" s="37"/>
      <c r="AW786" s="37"/>
      <c r="AX786" s="37"/>
    </row>
    <row r="787" spans="1:50" ht="20.100000000000001" customHeight="1" x14ac:dyDescent="0.25">
      <c r="A787" s="37"/>
      <c r="B787" s="58"/>
      <c r="C787" s="37"/>
      <c r="D787" s="97"/>
      <c r="E787" s="98"/>
      <c r="F787" s="101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3"/>
      <c r="T787" s="83"/>
      <c r="U787" s="85"/>
      <c r="V787" s="83"/>
      <c r="W787" s="85"/>
      <c r="X787" s="97"/>
      <c r="Y787" s="100"/>
      <c r="Z787" s="100"/>
      <c r="AA787" s="100"/>
      <c r="AB787" s="100"/>
      <c r="AC787" s="100"/>
      <c r="AD787" s="98"/>
      <c r="AE787" s="83"/>
      <c r="AF787" s="84"/>
      <c r="AG787" s="85"/>
      <c r="AH787" s="83"/>
      <c r="AI787" s="84"/>
      <c r="AJ787" s="84"/>
      <c r="AK787" s="85"/>
      <c r="AL787" s="83"/>
      <c r="AM787" s="84"/>
      <c r="AN787" s="85"/>
      <c r="AO787" s="60"/>
      <c r="AP787" s="61"/>
      <c r="AQ787" s="77">
        <f t="shared" si="25"/>
        <v>0</v>
      </c>
      <c r="AR787" s="37"/>
      <c r="AS787" s="78">
        <f t="shared" si="26"/>
        <v>0</v>
      </c>
      <c r="AT787" s="37"/>
      <c r="AU787" s="37"/>
      <c r="AV787" s="37"/>
      <c r="AW787" s="37"/>
      <c r="AX787" s="37"/>
    </row>
    <row r="788" spans="1:50" ht="20.100000000000001" customHeight="1" x14ac:dyDescent="0.25">
      <c r="A788" s="37"/>
      <c r="B788" s="58"/>
      <c r="C788" s="37"/>
      <c r="D788" s="97"/>
      <c r="E788" s="98"/>
      <c r="F788" s="101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3"/>
      <c r="T788" s="83"/>
      <c r="U788" s="85"/>
      <c r="V788" s="83"/>
      <c r="W788" s="85"/>
      <c r="X788" s="97"/>
      <c r="Y788" s="100"/>
      <c r="Z788" s="100"/>
      <c r="AA788" s="100"/>
      <c r="AB788" s="100"/>
      <c r="AC788" s="100"/>
      <c r="AD788" s="98"/>
      <c r="AE788" s="83"/>
      <c r="AF788" s="84"/>
      <c r="AG788" s="85"/>
      <c r="AH788" s="83"/>
      <c r="AI788" s="84"/>
      <c r="AJ788" s="84"/>
      <c r="AK788" s="85"/>
      <c r="AL788" s="83"/>
      <c r="AM788" s="84"/>
      <c r="AN788" s="85"/>
      <c r="AO788" s="60"/>
      <c r="AP788" s="61"/>
      <c r="AQ788" s="77">
        <f t="shared" si="25"/>
        <v>0</v>
      </c>
      <c r="AR788" s="37"/>
      <c r="AS788" s="78">
        <f t="shared" si="26"/>
        <v>0</v>
      </c>
      <c r="AT788" s="37"/>
      <c r="AU788" s="37"/>
      <c r="AV788" s="37"/>
      <c r="AW788" s="37"/>
      <c r="AX788" s="37"/>
    </row>
    <row r="789" spans="1:50" ht="20.100000000000001" customHeight="1" x14ac:dyDescent="0.25">
      <c r="A789" s="37"/>
      <c r="B789" s="58"/>
      <c r="C789" s="37"/>
      <c r="D789" s="97"/>
      <c r="E789" s="98"/>
      <c r="F789" s="101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3"/>
      <c r="T789" s="83"/>
      <c r="U789" s="85"/>
      <c r="V789" s="83"/>
      <c r="W789" s="85"/>
      <c r="X789" s="97"/>
      <c r="Y789" s="100"/>
      <c r="Z789" s="100"/>
      <c r="AA789" s="100"/>
      <c r="AB789" s="100"/>
      <c r="AC789" s="100"/>
      <c r="AD789" s="98"/>
      <c r="AE789" s="83"/>
      <c r="AF789" s="84"/>
      <c r="AG789" s="85"/>
      <c r="AH789" s="83"/>
      <c r="AI789" s="84"/>
      <c r="AJ789" s="84"/>
      <c r="AK789" s="85"/>
      <c r="AL789" s="83"/>
      <c r="AM789" s="84"/>
      <c r="AN789" s="85"/>
      <c r="AO789" s="60"/>
      <c r="AP789" s="61"/>
      <c r="AQ789" s="77">
        <f t="shared" si="25"/>
        <v>0</v>
      </c>
      <c r="AR789" s="37"/>
      <c r="AS789" s="78">
        <f t="shared" si="26"/>
        <v>0</v>
      </c>
      <c r="AT789" s="37"/>
      <c r="AU789" s="37"/>
      <c r="AV789" s="37"/>
      <c r="AW789" s="37"/>
      <c r="AX789" s="37"/>
    </row>
    <row r="790" spans="1:50" ht="20.100000000000001" customHeight="1" x14ac:dyDescent="0.25">
      <c r="A790" s="37"/>
      <c r="B790" s="58"/>
      <c r="C790" s="37"/>
      <c r="D790" s="97"/>
      <c r="E790" s="98"/>
      <c r="F790" s="101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3"/>
      <c r="T790" s="83"/>
      <c r="U790" s="85"/>
      <c r="V790" s="83"/>
      <c r="W790" s="85"/>
      <c r="X790" s="97"/>
      <c r="Y790" s="100"/>
      <c r="Z790" s="100"/>
      <c r="AA790" s="100"/>
      <c r="AB790" s="100"/>
      <c r="AC790" s="100"/>
      <c r="AD790" s="98"/>
      <c r="AE790" s="83"/>
      <c r="AF790" s="84"/>
      <c r="AG790" s="85"/>
      <c r="AH790" s="83"/>
      <c r="AI790" s="84"/>
      <c r="AJ790" s="84"/>
      <c r="AK790" s="85"/>
      <c r="AL790" s="83"/>
      <c r="AM790" s="84"/>
      <c r="AN790" s="85"/>
      <c r="AO790" s="60"/>
      <c r="AP790" s="61"/>
      <c r="AQ790" s="77">
        <f t="shared" si="25"/>
        <v>0</v>
      </c>
      <c r="AR790" s="37"/>
      <c r="AS790" s="78">
        <f t="shared" si="26"/>
        <v>0</v>
      </c>
      <c r="AT790" s="37"/>
      <c r="AU790" s="37"/>
      <c r="AV790" s="37"/>
      <c r="AW790" s="37"/>
      <c r="AX790" s="37"/>
    </row>
    <row r="791" spans="1:50" ht="20.100000000000001" customHeight="1" x14ac:dyDescent="0.25">
      <c r="A791" s="37"/>
      <c r="B791" s="58"/>
      <c r="C791" s="37"/>
      <c r="D791" s="97"/>
      <c r="E791" s="98"/>
      <c r="F791" s="101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3"/>
      <c r="T791" s="83"/>
      <c r="U791" s="85"/>
      <c r="V791" s="83"/>
      <c r="W791" s="85"/>
      <c r="X791" s="97"/>
      <c r="Y791" s="100"/>
      <c r="Z791" s="100"/>
      <c r="AA791" s="100"/>
      <c r="AB791" s="100"/>
      <c r="AC791" s="100"/>
      <c r="AD791" s="98"/>
      <c r="AE791" s="83"/>
      <c r="AF791" s="84"/>
      <c r="AG791" s="85"/>
      <c r="AH791" s="83"/>
      <c r="AI791" s="84"/>
      <c r="AJ791" s="84"/>
      <c r="AK791" s="85"/>
      <c r="AL791" s="83"/>
      <c r="AM791" s="84"/>
      <c r="AN791" s="85"/>
      <c r="AO791" s="60"/>
      <c r="AP791" s="61"/>
      <c r="AQ791" s="77">
        <f t="shared" si="25"/>
        <v>0</v>
      </c>
      <c r="AR791" s="37"/>
      <c r="AS791" s="78">
        <f t="shared" si="26"/>
        <v>0</v>
      </c>
      <c r="AT791" s="37"/>
      <c r="AU791" s="37"/>
      <c r="AV791" s="37"/>
      <c r="AW791" s="37"/>
      <c r="AX791" s="37"/>
    </row>
    <row r="792" spans="1:50" ht="20.100000000000001" customHeight="1" x14ac:dyDescent="0.25">
      <c r="A792" s="37"/>
      <c r="B792" s="58"/>
      <c r="C792" s="37"/>
      <c r="D792" s="97"/>
      <c r="E792" s="98"/>
      <c r="F792" s="101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3"/>
      <c r="T792" s="83"/>
      <c r="U792" s="85"/>
      <c r="V792" s="83"/>
      <c r="W792" s="85"/>
      <c r="X792" s="97"/>
      <c r="Y792" s="100"/>
      <c r="Z792" s="100"/>
      <c r="AA792" s="100"/>
      <c r="AB792" s="100"/>
      <c r="AC792" s="100"/>
      <c r="AD792" s="98"/>
      <c r="AE792" s="83"/>
      <c r="AF792" s="84"/>
      <c r="AG792" s="85"/>
      <c r="AH792" s="83"/>
      <c r="AI792" s="84"/>
      <c r="AJ792" s="84"/>
      <c r="AK792" s="85"/>
      <c r="AL792" s="83"/>
      <c r="AM792" s="84"/>
      <c r="AN792" s="85"/>
      <c r="AO792" s="60"/>
      <c r="AP792" s="61"/>
      <c r="AQ792" s="77">
        <f t="shared" si="25"/>
        <v>0</v>
      </c>
      <c r="AR792" s="37"/>
      <c r="AS792" s="78">
        <f t="shared" si="26"/>
        <v>0</v>
      </c>
      <c r="AT792" s="37"/>
      <c r="AU792" s="37"/>
      <c r="AV792" s="37"/>
      <c r="AW792" s="37"/>
      <c r="AX792" s="37"/>
    </row>
    <row r="793" spans="1:50" ht="20.100000000000001" customHeight="1" x14ac:dyDescent="0.25">
      <c r="A793" s="37"/>
      <c r="B793" s="58"/>
      <c r="C793" s="37"/>
      <c r="D793" s="97"/>
      <c r="E793" s="98"/>
      <c r="F793" s="101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3"/>
      <c r="T793" s="83"/>
      <c r="U793" s="85"/>
      <c r="V793" s="83"/>
      <c r="W793" s="85"/>
      <c r="X793" s="97"/>
      <c r="Y793" s="100"/>
      <c r="Z793" s="100"/>
      <c r="AA793" s="100"/>
      <c r="AB793" s="100"/>
      <c r="AC793" s="100"/>
      <c r="AD793" s="98"/>
      <c r="AE793" s="83"/>
      <c r="AF793" s="84"/>
      <c r="AG793" s="85"/>
      <c r="AH793" s="83"/>
      <c r="AI793" s="84"/>
      <c r="AJ793" s="84"/>
      <c r="AK793" s="85"/>
      <c r="AL793" s="83"/>
      <c r="AM793" s="84"/>
      <c r="AN793" s="85"/>
      <c r="AO793" s="60"/>
      <c r="AP793" s="61"/>
      <c r="AQ793" s="77">
        <f t="shared" si="25"/>
        <v>0</v>
      </c>
      <c r="AR793" s="37"/>
      <c r="AS793" s="78">
        <f t="shared" si="26"/>
        <v>0</v>
      </c>
      <c r="AT793" s="37"/>
      <c r="AU793" s="37"/>
      <c r="AV793" s="37"/>
      <c r="AW793" s="37"/>
      <c r="AX793" s="37"/>
    </row>
    <row r="794" spans="1:50" ht="20.100000000000001" customHeight="1" x14ac:dyDescent="0.25">
      <c r="A794" s="37"/>
      <c r="B794" s="58"/>
      <c r="C794" s="37"/>
      <c r="D794" s="97"/>
      <c r="E794" s="98"/>
      <c r="F794" s="101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3"/>
      <c r="T794" s="83"/>
      <c r="U794" s="85"/>
      <c r="V794" s="83"/>
      <c r="W794" s="85"/>
      <c r="X794" s="97"/>
      <c r="Y794" s="100"/>
      <c r="Z794" s="100"/>
      <c r="AA794" s="100"/>
      <c r="AB794" s="100"/>
      <c r="AC794" s="100"/>
      <c r="AD794" s="98"/>
      <c r="AE794" s="83"/>
      <c r="AF794" s="84"/>
      <c r="AG794" s="85"/>
      <c r="AH794" s="83"/>
      <c r="AI794" s="84"/>
      <c r="AJ794" s="84"/>
      <c r="AK794" s="85"/>
      <c r="AL794" s="83"/>
      <c r="AM794" s="84"/>
      <c r="AN794" s="85"/>
      <c r="AO794" s="60"/>
      <c r="AP794" s="61"/>
      <c r="AQ794" s="77">
        <f t="shared" si="25"/>
        <v>0</v>
      </c>
      <c r="AR794" s="37"/>
      <c r="AS794" s="78">
        <f t="shared" si="26"/>
        <v>0</v>
      </c>
      <c r="AT794" s="37"/>
      <c r="AU794" s="37"/>
      <c r="AV794" s="37"/>
      <c r="AW794" s="37"/>
      <c r="AX794" s="37"/>
    </row>
    <row r="795" spans="1:50" ht="20.100000000000001" customHeight="1" x14ac:dyDescent="0.25">
      <c r="A795" s="37"/>
      <c r="B795" s="58"/>
      <c r="C795" s="37"/>
      <c r="D795" s="97"/>
      <c r="E795" s="98"/>
      <c r="F795" s="101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3"/>
      <c r="T795" s="83"/>
      <c r="U795" s="85"/>
      <c r="V795" s="83"/>
      <c r="W795" s="85"/>
      <c r="X795" s="97"/>
      <c r="Y795" s="100"/>
      <c r="Z795" s="100"/>
      <c r="AA795" s="100"/>
      <c r="AB795" s="100"/>
      <c r="AC795" s="100"/>
      <c r="AD795" s="98"/>
      <c r="AE795" s="83"/>
      <c r="AF795" s="84"/>
      <c r="AG795" s="85"/>
      <c r="AH795" s="83"/>
      <c r="AI795" s="84"/>
      <c r="AJ795" s="84"/>
      <c r="AK795" s="85"/>
      <c r="AL795" s="83"/>
      <c r="AM795" s="84"/>
      <c r="AN795" s="85"/>
      <c r="AO795" s="60"/>
      <c r="AP795" s="61"/>
      <c r="AQ795" s="77">
        <f t="shared" si="25"/>
        <v>0</v>
      </c>
      <c r="AR795" s="37"/>
      <c r="AS795" s="78">
        <f t="shared" si="26"/>
        <v>0</v>
      </c>
      <c r="AT795" s="37"/>
      <c r="AU795" s="37"/>
      <c r="AV795" s="37"/>
      <c r="AW795" s="37"/>
      <c r="AX795" s="37"/>
    </row>
    <row r="796" spans="1:50" ht="20.100000000000001" customHeight="1" x14ac:dyDescent="0.25">
      <c r="A796" s="37"/>
      <c r="B796" s="58"/>
      <c r="C796" s="37"/>
      <c r="D796" s="97"/>
      <c r="E796" s="98"/>
      <c r="F796" s="101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3"/>
      <c r="T796" s="83"/>
      <c r="U796" s="85"/>
      <c r="V796" s="83"/>
      <c r="W796" s="85"/>
      <c r="X796" s="97"/>
      <c r="Y796" s="100"/>
      <c r="Z796" s="100"/>
      <c r="AA796" s="100"/>
      <c r="AB796" s="100"/>
      <c r="AC796" s="100"/>
      <c r="AD796" s="98"/>
      <c r="AE796" s="83"/>
      <c r="AF796" s="84"/>
      <c r="AG796" s="85"/>
      <c r="AH796" s="83"/>
      <c r="AI796" s="84"/>
      <c r="AJ796" s="84"/>
      <c r="AK796" s="85"/>
      <c r="AL796" s="83"/>
      <c r="AM796" s="84"/>
      <c r="AN796" s="85"/>
      <c r="AO796" s="60"/>
      <c r="AP796" s="61"/>
      <c r="AQ796" s="77">
        <f t="shared" si="25"/>
        <v>0</v>
      </c>
      <c r="AR796" s="37"/>
      <c r="AS796" s="78">
        <f t="shared" si="26"/>
        <v>0</v>
      </c>
      <c r="AT796" s="37"/>
      <c r="AU796" s="37"/>
      <c r="AV796" s="37"/>
      <c r="AW796" s="37"/>
      <c r="AX796" s="37"/>
    </row>
    <row r="797" spans="1:50" ht="20.100000000000001" customHeight="1" x14ac:dyDescent="0.25">
      <c r="A797" s="37"/>
      <c r="B797" s="58"/>
      <c r="C797" s="37"/>
      <c r="D797" s="97"/>
      <c r="E797" s="98"/>
      <c r="F797" s="101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3"/>
      <c r="T797" s="83"/>
      <c r="U797" s="85"/>
      <c r="V797" s="83"/>
      <c r="W797" s="85"/>
      <c r="X797" s="97"/>
      <c r="Y797" s="100"/>
      <c r="Z797" s="100"/>
      <c r="AA797" s="100"/>
      <c r="AB797" s="100"/>
      <c r="AC797" s="100"/>
      <c r="AD797" s="98"/>
      <c r="AE797" s="83"/>
      <c r="AF797" s="84"/>
      <c r="AG797" s="85"/>
      <c r="AH797" s="83"/>
      <c r="AI797" s="84"/>
      <c r="AJ797" s="84"/>
      <c r="AK797" s="85"/>
      <c r="AL797" s="83"/>
      <c r="AM797" s="84"/>
      <c r="AN797" s="85"/>
      <c r="AO797" s="60"/>
      <c r="AP797" s="61"/>
      <c r="AQ797" s="77">
        <f t="shared" si="25"/>
        <v>0</v>
      </c>
      <c r="AR797" s="37"/>
      <c r="AS797" s="78">
        <f t="shared" si="26"/>
        <v>0</v>
      </c>
      <c r="AT797" s="37"/>
      <c r="AU797" s="37"/>
      <c r="AV797" s="37"/>
      <c r="AW797" s="37"/>
      <c r="AX797" s="37"/>
    </row>
    <row r="798" spans="1:50" ht="20.100000000000001" customHeight="1" x14ac:dyDescent="0.25">
      <c r="A798" s="37"/>
      <c r="B798" s="58"/>
      <c r="C798" s="37"/>
      <c r="D798" s="97"/>
      <c r="E798" s="98"/>
      <c r="F798" s="101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3"/>
      <c r="T798" s="83"/>
      <c r="U798" s="85"/>
      <c r="V798" s="83"/>
      <c r="W798" s="85"/>
      <c r="X798" s="97"/>
      <c r="Y798" s="100"/>
      <c r="Z798" s="100"/>
      <c r="AA798" s="100"/>
      <c r="AB798" s="100"/>
      <c r="AC798" s="100"/>
      <c r="AD798" s="98"/>
      <c r="AE798" s="83"/>
      <c r="AF798" s="84"/>
      <c r="AG798" s="85"/>
      <c r="AH798" s="83"/>
      <c r="AI798" s="84"/>
      <c r="AJ798" s="84"/>
      <c r="AK798" s="85"/>
      <c r="AL798" s="83"/>
      <c r="AM798" s="84"/>
      <c r="AN798" s="85"/>
      <c r="AO798" s="60"/>
      <c r="AP798" s="61"/>
      <c r="AQ798" s="77">
        <f t="shared" si="25"/>
        <v>0</v>
      </c>
      <c r="AR798" s="37"/>
      <c r="AS798" s="78">
        <f t="shared" si="26"/>
        <v>0</v>
      </c>
      <c r="AT798" s="37"/>
      <c r="AU798" s="37"/>
      <c r="AV798" s="37"/>
      <c r="AW798" s="37"/>
      <c r="AX798" s="37"/>
    </row>
    <row r="799" spans="1:50" ht="20.100000000000001" customHeight="1" x14ac:dyDescent="0.25">
      <c r="A799" s="37"/>
      <c r="B799" s="58"/>
      <c r="C799" s="37"/>
      <c r="D799" s="97"/>
      <c r="E799" s="98"/>
      <c r="F799" s="101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3"/>
      <c r="T799" s="83"/>
      <c r="U799" s="85"/>
      <c r="V799" s="83"/>
      <c r="W799" s="85"/>
      <c r="X799" s="97"/>
      <c r="Y799" s="100"/>
      <c r="Z799" s="100"/>
      <c r="AA799" s="100"/>
      <c r="AB799" s="100"/>
      <c r="AC799" s="100"/>
      <c r="AD799" s="98"/>
      <c r="AE799" s="83"/>
      <c r="AF799" s="84"/>
      <c r="AG799" s="85"/>
      <c r="AH799" s="83"/>
      <c r="AI799" s="84"/>
      <c r="AJ799" s="84"/>
      <c r="AK799" s="85"/>
      <c r="AL799" s="83"/>
      <c r="AM799" s="84"/>
      <c r="AN799" s="85"/>
      <c r="AO799" s="60"/>
      <c r="AP799" s="61"/>
      <c r="AQ799" s="77">
        <f t="shared" si="25"/>
        <v>0</v>
      </c>
      <c r="AR799" s="37"/>
      <c r="AS799" s="78">
        <f t="shared" si="26"/>
        <v>0</v>
      </c>
      <c r="AT799" s="37"/>
      <c r="AU799" s="37"/>
      <c r="AV799" s="37"/>
      <c r="AW799" s="37"/>
      <c r="AX799" s="37"/>
    </row>
    <row r="800" spans="1:50" ht="20.100000000000001" customHeight="1" x14ac:dyDescent="0.25">
      <c r="A800" s="37"/>
      <c r="B800" s="58"/>
      <c r="C800" s="37"/>
      <c r="D800" s="97"/>
      <c r="E800" s="98"/>
      <c r="F800" s="101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3"/>
      <c r="T800" s="83"/>
      <c r="U800" s="85"/>
      <c r="V800" s="83"/>
      <c r="W800" s="85"/>
      <c r="X800" s="97"/>
      <c r="Y800" s="100"/>
      <c r="Z800" s="100"/>
      <c r="AA800" s="100"/>
      <c r="AB800" s="100"/>
      <c r="AC800" s="100"/>
      <c r="AD800" s="98"/>
      <c r="AE800" s="83"/>
      <c r="AF800" s="84"/>
      <c r="AG800" s="85"/>
      <c r="AH800" s="83"/>
      <c r="AI800" s="84"/>
      <c r="AJ800" s="84"/>
      <c r="AK800" s="85"/>
      <c r="AL800" s="83"/>
      <c r="AM800" s="84"/>
      <c r="AN800" s="85"/>
      <c r="AO800" s="60"/>
      <c r="AP800" s="61"/>
      <c r="AQ800" s="77">
        <f t="shared" si="25"/>
        <v>0</v>
      </c>
      <c r="AR800" s="37"/>
      <c r="AS800" s="78">
        <f t="shared" si="26"/>
        <v>0</v>
      </c>
      <c r="AT800" s="37"/>
      <c r="AU800" s="37"/>
      <c r="AV800" s="37"/>
      <c r="AW800" s="37"/>
      <c r="AX800" s="37"/>
    </row>
    <row r="801" spans="1:50" ht="20.100000000000001" customHeight="1" x14ac:dyDescent="0.25">
      <c r="A801" s="37"/>
      <c r="B801" s="58"/>
      <c r="C801" s="37"/>
      <c r="D801" s="97"/>
      <c r="E801" s="98"/>
      <c r="F801" s="101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3"/>
      <c r="T801" s="83"/>
      <c r="U801" s="85"/>
      <c r="V801" s="83"/>
      <c r="W801" s="85"/>
      <c r="X801" s="97"/>
      <c r="Y801" s="100"/>
      <c r="Z801" s="100"/>
      <c r="AA801" s="100"/>
      <c r="AB801" s="100"/>
      <c r="AC801" s="100"/>
      <c r="AD801" s="98"/>
      <c r="AE801" s="83"/>
      <c r="AF801" s="84"/>
      <c r="AG801" s="85"/>
      <c r="AH801" s="83"/>
      <c r="AI801" s="84"/>
      <c r="AJ801" s="84"/>
      <c r="AK801" s="85"/>
      <c r="AL801" s="83"/>
      <c r="AM801" s="84"/>
      <c r="AN801" s="85"/>
      <c r="AO801" s="60"/>
      <c r="AP801" s="61"/>
      <c r="AQ801" s="77">
        <f t="shared" si="25"/>
        <v>0</v>
      </c>
      <c r="AR801" s="37"/>
      <c r="AS801" s="78">
        <f t="shared" si="26"/>
        <v>0</v>
      </c>
      <c r="AT801" s="37"/>
      <c r="AU801" s="37"/>
      <c r="AV801" s="37"/>
      <c r="AW801" s="37"/>
      <c r="AX801" s="37"/>
    </row>
    <row r="802" spans="1:50" ht="20.100000000000001" customHeight="1" x14ac:dyDescent="0.25">
      <c r="A802" s="37"/>
      <c r="B802" s="58"/>
      <c r="C802" s="37"/>
      <c r="D802" s="97"/>
      <c r="E802" s="98"/>
      <c r="F802" s="101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3"/>
      <c r="T802" s="83"/>
      <c r="U802" s="85"/>
      <c r="V802" s="83"/>
      <c r="W802" s="85"/>
      <c r="X802" s="97"/>
      <c r="Y802" s="100"/>
      <c r="Z802" s="100"/>
      <c r="AA802" s="100"/>
      <c r="AB802" s="100"/>
      <c r="AC802" s="100"/>
      <c r="AD802" s="98"/>
      <c r="AE802" s="83"/>
      <c r="AF802" s="84"/>
      <c r="AG802" s="85"/>
      <c r="AH802" s="83"/>
      <c r="AI802" s="84"/>
      <c r="AJ802" s="84"/>
      <c r="AK802" s="85"/>
      <c r="AL802" s="83"/>
      <c r="AM802" s="84"/>
      <c r="AN802" s="85"/>
      <c r="AO802" s="60"/>
      <c r="AP802" s="61"/>
      <c r="AQ802" s="77">
        <f t="shared" si="25"/>
        <v>0</v>
      </c>
      <c r="AR802" s="37"/>
      <c r="AS802" s="78">
        <f t="shared" si="26"/>
        <v>0</v>
      </c>
      <c r="AT802" s="37"/>
      <c r="AU802" s="37"/>
      <c r="AV802" s="37"/>
      <c r="AW802" s="37"/>
      <c r="AX802" s="37"/>
    </row>
    <row r="803" spans="1:50" ht="20.100000000000001" customHeight="1" x14ac:dyDescent="0.25">
      <c r="A803" s="37"/>
      <c r="B803" s="58"/>
      <c r="C803" s="37"/>
      <c r="D803" s="97"/>
      <c r="E803" s="98"/>
      <c r="F803" s="101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3"/>
      <c r="T803" s="83"/>
      <c r="U803" s="85"/>
      <c r="V803" s="83"/>
      <c r="W803" s="85"/>
      <c r="X803" s="97"/>
      <c r="Y803" s="100"/>
      <c r="Z803" s="100"/>
      <c r="AA803" s="100"/>
      <c r="AB803" s="100"/>
      <c r="AC803" s="100"/>
      <c r="AD803" s="98"/>
      <c r="AE803" s="83"/>
      <c r="AF803" s="84"/>
      <c r="AG803" s="85"/>
      <c r="AH803" s="83"/>
      <c r="AI803" s="84"/>
      <c r="AJ803" s="84"/>
      <c r="AK803" s="85"/>
      <c r="AL803" s="83"/>
      <c r="AM803" s="84"/>
      <c r="AN803" s="85"/>
      <c r="AO803" s="60"/>
      <c r="AP803" s="61"/>
      <c r="AQ803" s="77">
        <f t="shared" si="25"/>
        <v>0</v>
      </c>
      <c r="AR803" s="37"/>
      <c r="AS803" s="78">
        <f t="shared" si="26"/>
        <v>0</v>
      </c>
      <c r="AT803" s="37"/>
      <c r="AU803" s="37"/>
      <c r="AV803" s="37"/>
      <c r="AW803" s="37"/>
      <c r="AX803" s="37"/>
    </row>
    <row r="804" spans="1:50" ht="20.100000000000001" customHeight="1" x14ac:dyDescent="0.25">
      <c r="A804" s="37"/>
      <c r="B804" s="58"/>
      <c r="C804" s="37"/>
      <c r="D804" s="97"/>
      <c r="E804" s="98"/>
      <c r="F804" s="101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3"/>
      <c r="T804" s="83"/>
      <c r="U804" s="85"/>
      <c r="V804" s="83"/>
      <c r="W804" s="85"/>
      <c r="X804" s="97"/>
      <c r="Y804" s="100"/>
      <c r="Z804" s="100"/>
      <c r="AA804" s="100"/>
      <c r="AB804" s="100"/>
      <c r="AC804" s="100"/>
      <c r="AD804" s="98"/>
      <c r="AE804" s="83"/>
      <c r="AF804" s="84"/>
      <c r="AG804" s="85"/>
      <c r="AH804" s="83"/>
      <c r="AI804" s="84"/>
      <c r="AJ804" s="84"/>
      <c r="AK804" s="85"/>
      <c r="AL804" s="83"/>
      <c r="AM804" s="84"/>
      <c r="AN804" s="85"/>
      <c r="AO804" s="60"/>
      <c r="AP804" s="61"/>
      <c r="AQ804" s="77">
        <f t="shared" si="25"/>
        <v>0</v>
      </c>
      <c r="AR804" s="37"/>
      <c r="AS804" s="78">
        <f t="shared" si="26"/>
        <v>0</v>
      </c>
      <c r="AT804" s="37"/>
      <c r="AU804" s="37"/>
      <c r="AV804" s="37"/>
      <c r="AW804" s="37"/>
      <c r="AX804" s="37"/>
    </row>
    <row r="805" spans="1:50" ht="20.100000000000001" customHeight="1" x14ac:dyDescent="0.25">
      <c r="A805" s="37"/>
      <c r="B805" s="58"/>
      <c r="C805" s="37"/>
      <c r="D805" s="97"/>
      <c r="E805" s="98"/>
      <c r="F805" s="101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3"/>
      <c r="T805" s="83"/>
      <c r="U805" s="85"/>
      <c r="V805" s="83"/>
      <c r="W805" s="85"/>
      <c r="X805" s="97"/>
      <c r="Y805" s="100"/>
      <c r="Z805" s="100"/>
      <c r="AA805" s="100"/>
      <c r="AB805" s="100"/>
      <c r="AC805" s="100"/>
      <c r="AD805" s="98"/>
      <c r="AE805" s="83"/>
      <c r="AF805" s="84"/>
      <c r="AG805" s="85"/>
      <c r="AH805" s="83"/>
      <c r="AI805" s="84"/>
      <c r="AJ805" s="84"/>
      <c r="AK805" s="85"/>
      <c r="AL805" s="83"/>
      <c r="AM805" s="84"/>
      <c r="AN805" s="85"/>
      <c r="AO805" s="60"/>
      <c r="AP805" s="61"/>
      <c r="AQ805" s="77">
        <f t="shared" si="25"/>
        <v>0</v>
      </c>
      <c r="AR805" s="37"/>
      <c r="AS805" s="78">
        <f t="shared" si="26"/>
        <v>0</v>
      </c>
      <c r="AT805" s="37"/>
      <c r="AU805" s="37"/>
      <c r="AV805" s="37"/>
      <c r="AW805" s="37"/>
      <c r="AX805" s="37"/>
    </row>
    <row r="806" spans="1:50" ht="20.100000000000001" customHeight="1" x14ac:dyDescent="0.25">
      <c r="A806" s="37"/>
      <c r="B806" s="58"/>
      <c r="C806" s="37"/>
      <c r="D806" s="97"/>
      <c r="E806" s="98"/>
      <c r="F806" s="101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3"/>
      <c r="T806" s="83"/>
      <c r="U806" s="85"/>
      <c r="V806" s="83"/>
      <c r="W806" s="85"/>
      <c r="X806" s="97"/>
      <c r="Y806" s="100"/>
      <c r="Z806" s="100"/>
      <c r="AA806" s="100"/>
      <c r="AB806" s="100"/>
      <c r="AC806" s="100"/>
      <c r="AD806" s="98"/>
      <c r="AE806" s="83"/>
      <c r="AF806" s="84"/>
      <c r="AG806" s="85"/>
      <c r="AH806" s="83"/>
      <c r="AI806" s="84"/>
      <c r="AJ806" s="84"/>
      <c r="AK806" s="85"/>
      <c r="AL806" s="83"/>
      <c r="AM806" s="84"/>
      <c r="AN806" s="85"/>
      <c r="AO806" s="60"/>
      <c r="AP806" s="61"/>
      <c r="AQ806" s="77">
        <f t="shared" si="25"/>
        <v>0</v>
      </c>
      <c r="AR806" s="37"/>
      <c r="AS806" s="78">
        <f t="shared" si="26"/>
        <v>0</v>
      </c>
      <c r="AT806" s="37"/>
      <c r="AU806" s="37"/>
      <c r="AV806" s="37"/>
      <c r="AW806" s="37"/>
      <c r="AX806" s="37"/>
    </row>
    <row r="807" spans="1:50" ht="20.100000000000001" customHeight="1" x14ac:dyDescent="0.25">
      <c r="A807" s="37"/>
      <c r="B807" s="58"/>
      <c r="C807" s="37"/>
      <c r="D807" s="97"/>
      <c r="E807" s="98"/>
      <c r="F807" s="101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3"/>
      <c r="T807" s="83"/>
      <c r="U807" s="85"/>
      <c r="V807" s="83"/>
      <c r="W807" s="85"/>
      <c r="X807" s="97"/>
      <c r="Y807" s="100"/>
      <c r="Z807" s="100"/>
      <c r="AA807" s="100"/>
      <c r="AB807" s="100"/>
      <c r="AC807" s="100"/>
      <c r="AD807" s="98"/>
      <c r="AE807" s="83"/>
      <c r="AF807" s="84"/>
      <c r="AG807" s="85"/>
      <c r="AH807" s="83"/>
      <c r="AI807" s="84"/>
      <c r="AJ807" s="84"/>
      <c r="AK807" s="85"/>
      <c r="AL807" s="83"/>
      <c r="AM807" s="84"/>
      <c r="AN807" s="85"/>
      <c r="AO807" s="60"/>
      <c r="AP807" s="61"/>
      <c r="AQ807" s="77">
        <f t="shared" si="25"/>
        <v>0</v>
      </c>
      <c r="AR807" s="37"/>
      <c r="AS807" s="78">
        <f t="shared" si="26"/>
        <v>0</v>
      </c>
      <c r="AT807" s="37"/>
      <c r="AU807" s="37"/>
      <c r="AV807" s="37"/>
      <c r="AW807" s="37"/>
      <c r="AX807" s="37"/>
    </row>
    <row r="808" spans="1:50" ht="20.100000000000001" customHeight="1" x14ac:dyDescent="0.25">
      <c r="A808" s="37"/>
      <c r="B808" s="58"/>
      <c r="C808" s="37"/>
      <c r="D808" s="97"/>
      <c r="E808" s="98"/>
      <c r="F808" s="101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3"/>
      <c r="T808" s="83"/>
      <c r="U808" s="85"/>
      <c r="V808" s="83"/>
      <c r="W808" s="85"/>
      <c r="X808" s="97"/>
      <c r="Y808" s="100"/>
      <c r="Z808" s="100"/>
      <c r="AA808" s="100"/>
      <c r="AB808" s="100"/>
      <c r="AC808" s="100"/>
      <c r="AD808" s="98"/>
      <c r="AE808" s="83"/>
      <c r="AF808" s="84"/>
      <c r="AG808" s="85"/>
      <c r="AH808" s="83"/>
      <c r="AI808" s="84"/>
      <c r="AJ808" s="84"/>
      <c r="AK808" s="85"/>
      <c r="AL808" s="83"/>
      <c r="AM808" s="84"/>
      <c r="AN808" s="85"/>
      <c r="AO808" s="60"/>
      <c r="AP808" s="61"/>
      <c r="AQ808" s="77">
        <f t="shared" si="25"/>
        <v>0</v>
      </c>
      <c r="AR808" s="37"/>
      <c r="AS808" s="78">
        <f t="shared" si="26"/>
        <v>0</v>
      </c>
      <c r="AT808" s="37"/>
      <c r="AU808" s="37"/>
      <c r="AV808" s="37"/>
      <c r="AW808" s="37"/>
      <c r="AX808" s="37"/>
    </row>
    <row r="809" spans="1:50" ht="20.100000000000001" customHeight="1" x14ac:dyDescent="0.25">
      <c r="A809" s="37"/>
      <c r="B809" s="58"/>
      <c r="C809" s="37"/>
      <c r="D809" s="97"/>
      <c r="E809" s="98"/>
      <c r="F809" s="101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3"/>
      <c r="T809" s="83"/>
      <c r="U809" s="85"/>
      <c r="V809" s="83"/>
      <c r="W809" s="85"/>
      <c r="X809" s="97"/>
      <c r="Y809" s="100"/>
      <c r="Z809" s="100"/>
      <c r="AA809" s="100"/>
      <c r="AB809" s="100"/>
      <c r="AC809" s="100"/>
      <c r="AD809" s="98"/>
      <c r="AE809" s="83"/>
      <c r="AF809" s="84"/>
      <c r="AG809" s="85"/>
      <c r="AH809" s="83"/>
      <c r="AI809" s="84"/>
      <c r="AJ809" s="84"/>
      <c r="AK809" s="85"/>
      <c r="AL809" s="83"/>
      <c r="AM809" s="84"/>
      <c r="AN809" s="85"/>
      <c r="AO809" s="60"/>
      <c r="AP809" s="61"/>
      <c r="AQ809" s="77">
        <f t="shared" si="25"/>
        <v>0</v>
      </c>
      <c r="AR809" s="37"/>
      <c r="AS809" s="78">
        <f t="shared" si="26"/>
        <v>0</v>
      </c>
      <c r="AT809" s="37"/>
      <c r="AU809" s="37"/>
      <c r="AV809" s="37"/>
      <c r="AW809" s="37"/>
      <c r="AX809" s="37"/>
    </row>
    <row r="810" spans="1:50" ht="20.100000000000001" customHeight="1" x14ac:dyDescent="0.25">
      <c r="A810" s="37"/>
      <c r="B810" s="58"/>
      <c r="C810" s="37"/>
      <c r="D810" s="97"/>
      <c r="E810" s="98"/>
      <c r="F810" s="101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3"/>
      <c r="T810" s="83"/>
      <c r="U810" s="85"/>
      <c r="V810" s="83"/>
      <c r="W810" s="85"/>
      <c r="X810" s="97"/>
      <c r="Y810" s="100"/>
      <c r="Z810" s="100"/>
      <c r="AA810" s="100"/>
      <c r="AB810" s="100"/>
      <c r="AC810" s="100"/>
      <c r="AD810" s="98"/>
      <c r="AE810" s="83"/>
      <c r="AF810" s="84"/>
      <c r="AG810" s="85"/>
      <c r="AH810" s="83"/>
      <c r="AI810" s="84"/>
      <c r="AJ810" s="84"/>
      <c r="AK810" s="85"/>
      <c r="AL810" s="83"/>
      <c r="AM810" s="84"/>
      <c r="AN810" s="85"/>
      <c r="AO810" s="60"/>
      <c r="AP810" s="61"/>
      <c r="AQ810" s="77">
        <f t="shared" si="25"/>
        <v>0</v>
      </c>
      <c r="AR810" s="37"/>
      <c r="AS810" s="78">
        <f t="shared" si="26"/>
        <v>0</v>
      </c>
      <c r="AT810" s="37"/>
      <c r="AU810" s="37"/>
      <c r="AV810" s="37"/>
      <c r="AW810" s="37"/>
      <c r="AX810" s="37"/>
    </row>
    <row r="811" spans="1:50" ht="20.100000000000001" customHeight="1" x14ac:dyDescent="0.25">
      <c r="A811" s="37"/>
      <c r="B811" s="58"/>
      <c r="C811" s="37"/>
      <c r="D811" s="97"/>
      <c r="E811" s="98"/>
      <c r="F811" s="101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3"/>
      <c r="T811" s="83"/>
      <c r="U811" s="85"/>
      <c r="V811" s="83"/>
      <c r="W811" s="85"/>
      <c r="X811" s="97"/>
      <c r="Y811" s="100"/>
      <c r="Z811" s="100"/>
      <c r="AA811" s="100"/>
      <c r="AB811" s="100"/>
      <c r="AC811" s="100"/>
      <c r="AD811" s="98"/>
      <c r="AE811" s="83"/>
      <c r="AF811" s="84"/>
      <c r="AG811" s="85"/>
      <c r="AH811" s="83"/>
      <c r="AI811" s="84"/>
      <c r="AJ811" s="84"/>
      <c r="AK811" s="85"/>
      <c r="AL811" s="83"/>
      <c r="AM811" s="84"/>
      <c r="AN811" s="85"/>
      <c r="AO811" s="60"/>
      <c r="AP811" s="61"/>
      <c r="AQ811" s="77">
        <f t="shared" si="25"/>
        <v>0</v>
      </c>
      <c r="AR811" s="37"/>
      <c r="AS811" s="78">
        <f t="shared" si="26"/>
        <v>0</v>
      </c>
      <c r="AT811" s="37"/>
      <c r="AU811" s="37"/>
      <c r="AV811" s="37"/>
      <c r="AW811" s="37"/>
      <c r="AX811" s="37"/>
    </row>
    <row r="812" spans="1:50" ht="20.100000000000001" customHeight="1" x14ac:dyDescent="0.25">
      <c r="A812" s="37"/>
      <c r="B812" s="58"/>
      <c r="C812" s="37"/>
      <c r="D812" s="97"/>
      <c r="E812" s="98"/>
      <c r="F812" s="101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3"/>
      <c r="T812" s="83"/>
      <c r="U812" s="85"/>
      <c r="V812" s="83"/>
      <c r="W812" s="85"/>
      <c r="X812" s="97"/>
      <c r="Y812" s="100"/>
      <c r="Z812" s="100"/>
      <c r="AA812" s="100"/>
      <c r="AB812" s="100"/>
      <c r="AC812" s="100"/>
      <c r="AD812" s="98"/>
      <c r="AE812" s="83"/>
      <c r="AF812" s="84"/>
      <c r="AG812" s="85"/>
      <c r="AH812" s="83"/>
      <c r="AI812" s="84"/>
      <c r="AJ812" s="84"/>
      <c r="AK812" s="85"/>
      <c r="AL812" s="83"/>
      <c r="AM812" s="84"/>
      <c r="AN812" s="85"/>
      <c r="AO812" s="60"/>
      <c r="AP812" s="61"/>
      <c r="AQ812" s="77">
        <f t="shared" si="25"/>
        <v>0</v>
      </c>
      <c r="AR812" s="37"/>
      <c r="AS812" s="78">
        <f t="shared" si="26"/>
        <v>0</v>
      </c>
      <c r="AT812" s="37"/>
      <c r="AU812" s="37"/>
      <c r="AV812" s="37"/>
      <c r="AW812" s="37"/>
      <c r="AX812" s="37"/>
    </row>
    <row r="813" spans="1:50" ht="20.100000000000001" customHeight="1" x14ac:dyDescent="0.25">
      <c r="A813" s="37"/>
      <c r="B813" s="58"/>
      <c r="C813" s="37"/>
      <c r="D813" s="97"/>
      <c r="E813" s="98"/>
      <c r="F813" s="101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3"/>
      <c r="T813" s="83"/>
      <c r="U813" s="85"/>
      <c r="V813" s="83"/>
      <c r="W813" s="85"/>
      <c r="X813" s="97"/>
      <c r="Y813" s="100"/>
      <c r="Z813" s="100"/>
      <c r="AA813" s="100"/>
      <c r="AB813" s="100"/>
      <c r="AC813" s="100"/>
      <c r="AD813" s="98"/>
      <c r="AE813" s="83"/>
      <c r="AF813" s="84"/>
      <c r="AG813" s="85"/>
      <c r="AH813" s="83"/>
      <c r="AI813" s="84"/>
      <c r="AJ813" s="84"/>
      <c r="AK813" s="85"/>
      <c r="AL813" s="83"/>
      <c r="AM813" s="84"/>
      <c r="AN813" s="85"/>
      <c r="AO813" s="60"/>
      <c r="AP813" s="61"/>
      <c r="AQ813" s="77">
        <f t="shared" si="25"/>
        <v>0</v>
      </c>
      <c r="AR813" s="37"/>
      <c r="AS813" s="78">
        <f t="shared" si="26"/>
        <v>0</v>
      </c>
      <c r="AT813" s="37"/>
      <c r="AU813" s="37"/>
      <c r="AV813" s="37"/>
      <c r="AW813" s="37"/>
      <c r="AX813" s="37"/>
    </row>
    <row r="814" spans="1:50" ht="20.100000000000001" customHeight="1" x14ac:dyDescent="0.25">
      <c r="A814" s="37"/>
      <c r="B814" s="58"/>
      <c r="C814" s="37"/>
      <c r="D814" s="97"/>
      <c r="E814" s="98"/>
      <c r="F814" s="101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3"/>
      <c r="T814" s="83"/>
      <c r="U814" s="85"/>
      <c r="V814" s="83"/>
      <c r="W814" s="85"/>
      <c r="X814" s="97"/>
      <c r="Y814" s="100"/>
      <c r="Z814" s="100"/>
      <c r="AA814" s="100"/>
      <c r="AB814" s="100"/>
      <c r="AC814" s="100"/>
      <c r="AD814" s="98"/>
      <c r="AE814" s="83"/>
      <c r="AF814" s="84"/>
      <c r="AG814" s="85"/>
      <c r="AH814" s="83"/>
      <c r="AI814" s="84"/>
      <c r="AJ814" s="84"/>
      <c r="AK814" s="85"/>
      <c r="AL814" s="83"/>
      <c r="AM814" s="84"/>
      <c r="AN814" s="85"/>
      <c r="AO814" s="60"/>
      <c r="AP814" s="61"/>
      <c r="AQ814" s="77">
        <f t="shared" si="25"/>
        <v>0</v>
      </c>
      <c r="AR814" s="37"/>
      <c r="AS814" s="78">
        <f t="shared" si="26"/>
        <v>0</v>
      </c>
      <c r="AT814" s="37"/>
      <c r="AU814" s="37"/>
      <c r="AV814" s="37"/>
      <c r="AW814" s="37"/>
      <c r="AX814" s="37"/>
    </row>
    <row r="815" spans="1:50" ht="20.100000000000001" customHeight="1" x14ac:dyDescent="0.25">
      <c r="A815" s="37"/>
      <c r="B815" s="58"/>
      <c r="C815" s="37"/>
      <c r="D815" s="97"/>
      <c r="E815" s="98"/>
      <c r="F815" s="101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3"/>
      <c r="T815" s="83"/>
      <c r="U815" s="85"/>
      <c r="V815" s="83"/>
      <c r="W815" s="85"/>
      <c r="X815" s="97"/>
      <c r="Y815" s="100"/>
      <c r="Z815" s="100"/>
      <c r="AA815" s="100"/>
      <c r="AB815" s="100"/>
      <c r="AC815" s="100"/>
      <c r="AD815" s="98"/>
      <c r="AE815" s="83"/>
      <c r="AF815" s="84"/>
      <c r="AG815" s="85"/>
      <c r="AH815" s="83"/>
      <c r="AI815" s="84"/>
      <c r="AJ815" s="84"/>
      <c r="AK815" s="85"/>
      <c r="AL815" s="83"/>
      <c r="AM815" s="84"/>
      <c r="AN815" s="85"/>
      <c r="AO815" s="60"/>
      <c r="AP815" s="61"/>
      <c r="AQ815" s="77">
        <f t="shared" si="25"/>
        <v>0</v>
      </c>
      <c r="AR815" s="37"/>
      <c r="AS815" s="78">
        <f t="shared" si="26"/>
        <v>0</v>
      </c>
      <c r="AT815" s="37"/>
      <c r="AU815" s="37"/>
      <c r="AV815" s="37"/>
      <c r="AW815" s="37"/>
      <c r="AX815" s="37"/>
    </row>
    <row r="816" spans="1:50" ht="20.100000000000001" customHeight="1" x14ac:dyDescent="0.25">
      <c r="A816" s="37"/>
      <c r="B816" s="58"/>
      <c r="C816" s="37"/>
      <c r="D816" s="97"/>
      <c r="E816" s="98"/>
      <c r="F816" s="101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3"/>
      <c r="T816" s="83"/>
      <c r="U816" s="85"/>
      <c r="V816" s="83"/>
      <c r="W816" s="85"/>
      <c r="X816" s="97"/>
      <c r="Y816" s="100"/>
      <c r="Z816" s="100"/>
      <c r="AA816" s="100"/>
      <c r="AB816" s="100"/>
      <c r="AC816" s="100"/>
      <c r="AD816" s="98"/>
      <c r="AE816" s="83"/>
      <c r="AF816" s="84"/>
      <c r="AG816" s="85"/>
      <c r="AH816" s="83"/>
      <c r="AI816" s="84"/>
      <c r="AJ816" s="84"/>
      <c r="AK816" s="85"/>
      <c r="AL816" s="83"/>
      <c r="AM816" s="84"/>
      <c r="AN816" s="85"/>
      <c r="AO816" s="60"/>
      <c r="AP816" s="61"/>
      <c r="AQ816" s="77">
        <f t="shared" si="25"/>
        <v>0</v>
      </c>
      <c r="AR816" s="37"/>
      <c r="AS816" s="78">
        <f t="shared" si="26"/>
        <v>0</v>
      </c>
      <c r="AT816" s="37"/>
      <c r="AU816" s="37"/>
      <c r="AV816" s="37"/>
      <c r="AW816" s="37"/>
      <c r="AX816" s="37"/>
    </row>
    <row r="817" spans="1:50" ht="20.100000000000001" customHeight="1" x14ac:dyDescent="0.25">
      <c r="A817" s="37"/>
      <c r="B817" s="58"/>
      <c r="C817" s="37"/>
      <c r="D817" s="97"/>
      <c r="E817" s="98"/>
      <c r="F817" s="101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3"/>
      <c r="T817" s="83"/>
      <c r="U817" s="85"/>
      <c r="V817" s="83"/>
      <c r="W817" s="85"/>
      <c r="X817" s="97"/>
      <c r="Y817" s="100"/>
      <c r="Z817" s="100"/>
      <c r="AA817" s="100"/>
      <c r="AB817" s="100"/>
      <c r="AC817" s="100"/>
      <c r="AD817" s="98"/>
      <c r="AE817" s="83"/>
      <c r="AF817" s="84"/>
      <c r="AG817" s="85"/>
      <c r="AH817" s="83"/>
      <c r="AI817" s="84"/>
      <c r="AJ817" s="84"/>
      <c r="AK817" s="85"/>
      <c r="AL817" s="83"/>
      <c r="AM817" s="84"/>
      <c r="AN817" s="85"/>
      <c r="AO817" s="60"/>
      <c r="AP817" s="61"/>
      <c r="AQ817" s="77">
        <f t="shared" si="25"/>
        <v>0</v>
      </c>
      <c r="AR817" s="37"/>
      <c r="AS817" s="78">
        <f t="shared" si="26"/>
        <v>0</v>
      </c>
      <c r="AT817" s="37"/>
      <c r="AU817" s="37"/>
      <c r="AV817" s="37"/>
      <c r="AW817" s="37"/>
      <c r="AX817" s="37"/>
    </row>
    <row r="818" spans="1:50" ht="20.100000000000001" customHeight="1" x14ac:dyDescent="0.25">
      <c r="A818" s="37"/>
      <c r="B818" s="58"/>
      <c r="C818" s="37"/>
      <c r="D818" s="97"/>
      <c r="E818" s="98"/>
      <c r="F818" s="101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3"/>
      <c r="T818" s="83"/>
      <c r="U818" s="85"/>
      <c r="V818" s="83"/>
      <c r="W818" s="85"/>
      <c r="X818" s="97"/>
      <c r="Y818" s="100"/>
      <c r="Z818" s="100"/>
      <c r="AA818" s="100"/>
      <c r="AB818" s="100"/>
      <c r="AC818" s="100"/>
      <c r="AD818" s="98"/>
      <c r="AE818" s="83"/>
      <c r="AF818" s="84"/>
      <c r="AG818" s="85"/>
      <c r="AH818" s="83"/>
      <c r="AI818" s="84"/>
      <c r="AJ818" s="84"/>
      <c r="AK818" s="85"/>
      <c r="AL818" s="83"/>
      <c r="AM818" s="84"/>
      <c r="AN818" s="85"/>
      <c r="AO818" s="60"/>
      <c r="AP818" s="61"/>
      <c r="AQ818" s="77">
        <f t="shared" si="25"/>
        <v>0</v>
      </c>
      <c r="AR818" s="37"/>
      <c r="AS818" s="78">
        <f t="shared" si="26"/>
        <v>0</v>
      </c>
      <c r="AT818" s="37"/>
      <c r="AU818" s="37"/>
      <c r="AV818" s="37"/>
      <c r="AW818" s="37"/>
      <c r="AX818" s="37"/>
    </row>
    <row r="819" spans="1:50" ht="20.100000000000001" customHeight="1" x14ac:dyDescent="0.25">
      <c r="A819" s="37"/>
      <c r="B819" s="58"/>
      <c r="C819" s="37"/>
      <c r="D819" s="97"/>
      <c r="E819" s="98"/>
      <c r="F819" s="101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3"/>
      <c r="T819" s="83"/>
      <c r="U819" s="85"/>
      <c r="V819" s="83"/>
      <c r="W819" s="85"/>
      <c r="X819" s="97"/>
      <c r="Y819" s="100"/>
      <c r="Z819" s="100"/>
      <c r="AA819" s="100"/>
      <c r="AB819" s="100"/>
      <c r="AC819" s="100"/>
      <c r="AD819" s="98"/>
      <c r="AE819" s="83"/>
      <c r="AF819" s="84"/>
      <c r="AG819" s="85"/>
      <c r="AH819" s="83"/>
      <c r="AI819" s="84"/>
      <c r="AJ819" s="84"/>
      <c r="AK819" s="85"/>
      <c r="AL819" s="83"/>
      <c r="AM819" s="84"/>
      <c r="AN819" s="85"/>
      <c r="AO819" s="60"/>
      <c r="AP819" s="61"/>
      <c r="AQ819" s="77">
        <f t="shared" si="25"/>
        <v>0</v>
      </c>
      <c r="AR819" s="37"/>
      <c r="AS819" s="78">
        <f t="shared" si="26"/>
        <v>0</v>
      </c>
      <c r="AT819" s="37"/>
      <c r="AU819" s="37"/>
      <c r="AV819" s="37"/>
      <c r="AW819" s="37"/>
      <c r="AX819" s="37"/>
    </row>
    <row r="820" spans="1:50" ht="20.100000000000001" customHeight="1" x14ac:dyDescent="0.25">
      <c r="A820" s="37"/>
      <c r="B820" s="58"/>
      <c r="C820" s="37"/>
      <c r="D820" s="97"/>
      <c r="E820" s="98"/>
      <c r="F820" s="101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3"/>
      <c r="T820" s="83"/>
      <c r="U820" s="85"/>
      <c r="V820" s="83"/>
      <c r="W820" s="85"/>
      <c r="X820" s="97"/>
      <c r="Y820" s="100"/>
      <c r="Z820" s="100"/>
      <c r="AA820" s="100"/>
      <c r="AB820" s="100"/>
      <c r="AC820" s="100"/>
      <c r="AD820" s="98"/>
      <c r="AE820" s="83"/>
      <c r="AF820" s="84"/>
      <c r="AG820" s="85"/>
      <c r="AH820" s="83"/>
      <c r="AI820" s="84"/>
      <c r="AJ820" s="84"/>
      <c r="AK820" s="85"/>
      <c r="AL820" s="83"/>
      <c r="AM820" s="84"/>
      <c r="AN820" s="85"/>
      <c r="AO820" s="60"/>
      <c r="AP820" s="61"/>
      <c r="AQ820" s="77">
        <f t="shared" si="25"/>
        <v>0</v>
      </c>
      <c r="AR820" s="37"/>
      <c r="AS820" s="78">
        <f t="shared" si="26"/>
        <v>0</v>
      </c>
      <c r="AT820" s="37"/>
      <c r="AU820" s="37"/>
      <c r="AV820" s="37"/>
      <c r="AW820" s="37"/>
      <c r="AX820" s="37"/>
    </row>
    <row r="821" spans="1:50" ht="20.100000000000001" customHeight="1" x14ac:dyDescent="0.25">
      <c r="A821" s="37"/>
      <c r="B821" s="58"/>
      <c r="C821" s="37"/>
      <c r="D821" s="97"/>
      <c r="E821" s="98"/>
      <c r="F821" s="101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3"/>
      <c r="T821" s="83"/>
      <c r="U821" s="85"/>
      <c r="V821" s="83"/>
      <c r="W821" s="85"/>
      <c r="X821" s="97"/>
      <c r="Y821" s="100"/>
      <c r="Z821" s="100"/>
      <c r="AA821" s="100"/>
      <c r="AB821" s="100"/>
      <c r="AC821" s="100"/>
      <c r="AD821" s="98"/>
      <c r="AE821" s="83"/>
      <c r="AF821" s="84"/>
      <c r="AG821" s="85"/>
      <c r="AH821" s="83"/>
      <c r="AI821" s="84"/>
      <c r="AJ821" s="84"/>
      <c r="AK821" s="85"/>
      <c r="AL821" s="83"/>
      <c r="AM821" s="84"/>
      <c r="AN821" s="85"/>
      <c r="AO821" s="60"/>
      <c r="AP821" s="61"/>
      <c r="AQ821" s="77">
        <f t="shared" si="25"/>
        <v>0</v>
      </c>
      <c r="AR821" s="37"/>
      <c r="AS821" s="78">
        <f t="shared" si="26"/>
        <v>0</v>
      </c>
      <c r="AT821" s="37"/>
      <c r="AU821" s="37"/>
      <c r="AV821" s="37"/>
      <c r="AW821" s="37"/>
      <c r="AX821" s="37"/>
    </row>
    <row r="822" spans="1:50" ht="20.100000000000001" customHeight="1" x14ac:dyDescent="0.25">
      <c r="A822" s="37"/>
      <c r="B822" s="58"/>
      <c r="C822" s="37"/>
      <c r="D822" s="97"/>
      <c r="E822" s="98"/>
      <c r="F822" s="101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3"/>
      <c r="T822" s="83"/>
      <c r="U822" s="85"/>
      <c r="V822" s="83"/>
      <c r="W822" s="85"/>
      <c r="X822" s="97"/>
      <c r="Y822" s="100"/>
      <c r="Z822" s="100"/>
      <c r="AA822" s="100"/>
      <c r="AB822" s="100"/>
      <c r="AC822" s="100"/>
      <c r="AD822" s="98"/>
      <c r="AE822" s="83"/>
      <c r="AF822" s="84"/>
      <c r="AG822" s="85"/>
      <c r="AH822" s="83"/>
      <c r="AI822" s="84"/>
      <c r="AJ822" s="84"/>
      <c r="AK822" s="85"/>
      <c r="AL822" s="83"/>
      <c r="AM822" s="84"/>
      <c r="AN822" s="85"/>
      <c r="AO822" s="60"/>
      <c r="AP822" s="61"/>
      <c r="AQ822" s="77">
        <f t="shared" si="25"/>
        <v>0</v>
      </c>
      <c r="AR822" s="37"/>
      <c r="AS822" s="78">
        <f t="shared" si="26"/>
        <v>0</v>
      </c>
      <c r="AT822" s="37"/>
      <c r="AU822" s="37"/>
      <c r="AV822" s="37"/>
      <c r="AW822" s="37"/>
      <c r="AX822" s="37"/>
    </row>
    <row r="823" spans="1:50" ht="20.100000000000001" customHeight="1" x14ac:dyDescent="0.25">
      <c r="A823" s="37"/>
      <c r="B823" s="58"/>
      <c r="C823" s="37"/>
      <c r="D823" s="97"/>
      <c r="E823" s="98"/>
      <c r="F823" s="101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3"/>
      <c r="T823" s="83"/>
      <c r="U823" s="85"/>
      <c r="V823" s="83"/>
      <c r="W823" s="85"/>
      <c r="X823" s="97"/>
      <c r="Y823" s="100"/>
      <c r="Z823" s="100"/>
      <c r="AA823" s="100"/>
      <c r="AB823" s="100"/>
      <c r="AC823" s="100"/>
      <c r="AD823" s="98"/>
      <c r="AE823" s="83"/>
      <c r="AF823" s="84"/>
      <c r="AG823" s="85"/>
      <c r="AH823" s="83"/>
      <c r="AI823" s="84"/>
      <c r="AJ823" s="84"/>
      <c r="AK823" s="85"/>
      <c r="AL823" s="83"/>
      <c r="AM823" s="84"/>
      <c r="AN823" s="85"/>
      <c r="AO823" s="60"/>
      <c r="AP823" s="61"/>
      <c r="AQ823" s="77">
        <f t="shared" si="25"/>
        <v>0</v>
      </c>
      <c r="AR823" s="37"/>
      <c r="AS823" s="78">
        <f t="shared" si="26"/>
        <v>0</v>
      </c>
      <c r="AT823" s="37"/>
      <c r="AU823" s="37"/>
      <c r="AV823" s="37"/>
      <c r="AW823" s="37"/>
      <c r="AX823" s="37"/>
    </row>
    <row r="824" spans="1:50" ht="20.100000000000001" customHeight="1" x14ac:dyDescent="0.25">
      <c r="A824" s="37"/>
      <c r="B824" s="58"/>
      <c r="C824" s="37"/>
      <c r="D824" s="97"/>
      <c r="E824" s="98"/>
      <c r="F824" s="101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3"/>
      <c r="T824" s="83"/>
      <c r="U824" s="85"/>
      <c r="V824" s="83"/>
      <c r="W824" s="85"/>
      <c r="X824" s="97"/>
      <c r="Y824" s="100"/>
      <c r="Z824" s="100"/>
      <c r="AA824" s="100"/>
      <c r="AB824" s="100"/>
      <c r="AC824" s="100"/>
      <c r="AD824" s="98"/>
      <c r="AE824" s="83"/>
      <c r="AF824" s="84"/>
      <c r="AG824" s="85"/>
      <c r="AH824" s="83"/>
      <c r="AI824" s="84"/>
      <c r="AJ824" s="84"/>
      <c r="AK824" s="85"/>
      <c r="AL824" s="83"/>
      <c r="AM824" s="84"/>
      <c r="AN824" s="85"/>
      <c r="AO824" s="60"/>
      <c r="AP824" s="61"/>
      <c r="AQ824" s="77">
        <f t="shared" si="25"/>
        <v>0</v>
      </c>
      <c r="AR824" s="37"/>
      <c r="AS824" s="78">
        <f t="shared" si="26"/>
        <v>0</v>
      </c>
      <c r="AT824" s="37"/>
      <c r="AU824" s="37"/>
      <c r="AV824" s="37"/>
      <c r="AW824" s="37"/>
      <c r="AX824" s="37"/>
    </row>
    <row r="825" spans="1:50" ht="20.100000000000001" customHeight="1" x14ac:dyDescent="0.25">
      <c r="A825" s="37"/>
      <c r="B825" s="58"/>
      <c r="C825" s="37"/>
      <c r="D825" s="97"/>
      <c r="E825" s="98"/>
      <c r="F825" s="101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3"/>
      <c r="T825" s="83"/>
      <c r="U825" s="85"/>
      <c r="V825" s="83"/>
      <c r="W825" s="85"/>
      <c r="X825" s="97"/>
      <c r="Y825" s="100"/>
      <c r="Z825" s="100"/>
      <c r="AA825" s="100"/>
      <c r="AB825" s="100"/>
      <c r="AC825" s="100"/>
      <c r="AD825" s="98"/>
      <c r="AE825" s="83"/>
      <c r="AF825" s="84"/>
      <c r="AG825" s="85"/>
      <c r="AH825" s="83"/>
      <c r="AI825" s="84"/>
      <c r="AJ825" s="84"/>
      <c r="AK825" s="85"/>
      <c r="AL825" s="83"/>
      <c r="AM825" s="84"/>
      <c r="AN825" s="85"/>
      <c r="AO825" s="60"/>
      <c r="AP825" s="61"/>
      <c r="AQ825" s="77">
        <f t="shared" si="25"/>
        <v>0</v>
      </c>
      <c r="AR825" s="37"/>
      <c r="AS825" s="78">
        <f t="shared" si="26"/>
        <v>0</v>
      </c>
      <c r="AT825" s="37"/>
      <c r="AU825" s="37"/>
      <c r="AV825" s="37"/>
      <c r="AW825" s="37"/>
      <c r="AX825" s="37"/>
    </row>
    <row r="826" spans="1:50" ht="20.100000000000001" customHeight="1" x14ac:dyDescent="0.25">
      <c r="A826" s="37"/>
      <c r="B826" s="58"/>
      <c r="C826" s="37"/>
      <c r="D826" s="97"/>
      <c r="E826" s="98"/>
      <c r="F826" s="101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3"/>
      <c r="T826" s="83"/>
      <c r="U826" s="85"/>
      <c r="V826" s="83"/>
      <c r="W826" s="85"/>
      <c r="X826" s="97"/>
      <c r="Y826" s="100"/>
      <c r="Z826" s="100"/>
      <c r="AA826" s="100"/>
      <c r="AB826" s="100"/>
      <c r="AC826" s="100"/>
      <c r="AD826" s="98"/>
      <c r="AE826" s="83"/>
      <c r="AF826" s="84"/>
      <c r="AG826" s="85"/>
      <c r="AH826" s="83"/>
      <c r="AI826" s="84"/>
      <c r="AJ826" s="84"/>
      <c r="AK826" s="85"/>
      <c r="AL826" s="83"/>
      <c r="AM826" s="84"/>
      <c r="AN826" s="85"/>
      <c r="AO826" s="60"/>
      <c r="AP826" s="61"/>
      <c r="AQ826" s="77">
        <f t="shared" si="25"/>
        <v>0</v>
      </c>
      <c r="AR826" s="37"/>
      <c r="AS826" s="78">
        <f t="shared" si="26"/>
        <v>0</v>
      </c>
      <c r="AT826" s="37"/>
      <c r="AU826" s="37"/>
      <c r="AV826" s="37"/>
      <c r="AW826" s="37"/>
      <c r="AX826" s="37"/>
    </row>
    <row r="827" spans="1:50" ht="20.100000000000001" customHeight="1" x14ac:dyDescent="0.25">
      <c r="A827" s="37"/>
      <c r="B827" s="58"/>
      <c r="C827" s="37"/>
      <c r="D827" s="97"/>
      <c r="E827" s="98"/>
      <c r="F827" s="101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3"/>
      <c r="T827" s="83"/>
      <c r="U827" s="85"/>
      <c r="V827" s="83"/>
      <c r="W827" s="85"/>
      <c r="X827" s="97"/>
      <c r="Y827" s="100"/>
      <c r="Z827" s="100"/>
      <c r="AA827" s="100"/>
      <c r="AB827" s="100"/>
      <c r="AC827" s="100"/>
      <c r="AD827" s="98"/>
      <c r="AE827" s="83"/>
      <c r="AF827" s="84"/>
      <c r="AG827" s="85"/>
      <c r="AH827" s="83"/>
      <c r="AI827" s="84"/>
      <c r="AJ827" s="84"/>
      <c r="AK827" s="85"/>
      <c r="AL827" s="83"/>
      <c r="AM827" s="84"/>
      <c r="AN827" s="85"/>
      <c r="AO827" s="60"/>
      <c r="AP827" s="61"/>
      <c r="AQ827" s="77">
        <f t="shared" si="25"/>
        <v>0</v>
      </c>
      <c r="AR827" s="37"/>
      <c r="AS827" s="78">
        <f t="shared" si="26"/>
        <v>0</v>
      </c>
      <c r="AT827" s="37"/>
      <c r="AU827" s="37"/>
      <c r="AV827" s="37"/>
      <c r="AW827" s="37"/>
      <c r="AX827" s="37"/>
    </row>
    <row r="828" spans="1:50" ht="20.100000000000001" customHeight="1" x14ac:dyDescent="0.25">
      <c r="A828" s="37"/>
      <c r="B828" s="58"/>
      <c r="C828" s="37"/>
      <c r="D828" s="97"/>
      <c r="E828" s="98"/>
      <c r="F828" s="101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3"/>
      <c r="T828" s="83"/>
      <c r="U828" s="85"/>
      <c r="V828" s="83"/>
      <c r="W828" s="85"/>
      <c r="X828" s="97"/>
      <c r="Y828" s="100"/>
      <c r="Z828" s="100"/>
      <c r="AA828" s="100"/>
      <c r="AB828" s="100"/>
      <c r="AC828" s="100"/>
      <c r="AD828" s="98"/>
      <c r="AE828" s="83"/>
      <c r="AF828" s="84"/>
      <c r="AG828" s="85"/>
      <c r="AH828" s="83"/>
      <c r="AI828" s="84"/>
      <c r="AJ828" s="84"/>
      <c r="AK828" s="85"/>
      <c r="AL828" s="83"/>
      <c r="AM828" s="84"/>
      <c r="AN828" s="85"/>
      <c r="AO828" s="60"/>
      <c r="AP828" s="61"/>
      <c r="AQ828" s="77">
        <f t="shared" si="25"/>
        <v>0</v>
      </c>
      <c r="AR828" s="37"/>
      <c r="AS828" s="78">
        <f t="shared" si="26"/>
        <v>0</v>
      </c>
      <c r="AT828" s="37"/>
      <c r="AU828" s="37"/>
      <c r="AV828" s="37"/>
      <c r="AW828" s="37"/>
      <c r="AX828" s="37"/>
    </row>
    <row r="829" spans="1:50" ht="20.100000000000001" customHeight="1" x14ac:dyDescent="0.25">
      <c r="A829" s="37"/>
      <c r="B829" s="58"/>
      <c r="C829" s="37"/>
      <c r="D829" s="97"/>
      <c r="E829" s="98"/>
      <c r="F829" s="101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3"/>
      <c r="T829" s="83"/>
      <c r="U829" s="85"/>
      <c r="V829" s="83"/>
      <c r="W829" s="85"/>
      <c r="X829" s="97"/>
      <c r="Y829" s="100"/>
      <c r="Z829" s="100"/>
      <c r="AA829" s="100"/>
      <c r="AB829" s="100"/>
      <c r="AC829" s="100"/>
      <c r="AD829" s="98"/>
      <c r="AE829" s="83"/>
      <c r="AF829" s="84"/>
      <c r="AG829" s="85"/>
      <c r="AH829" s="83"/>
      <c r="AI829" s="84"/>
      <c r="AJ829" s="84"/>
      <c r="AK829" s="85"/>
      <c r="AL829" s="83"/>
      <c r="AM829" s="84"/>
      <c r="AN829" s="85"/>
      <c r="AO829" s="60"/>
      <c r="AP829" s="61"/>
      <c r="AQ829" s="77">
        <f t="shared" si="25"/>
        <v>0</v>
      </c>
      <c r="AR829" s="37"/>
      <c r="AS829" s="78">
        <f t="shared" si="26"/>
        <v>0</v>
      </c>
      <c r="AT829" s="37"/>
      <c r="AU829" s="37"/>
      <c r="AV829" s="37"/>
      <c r="AW829" s="37"/>
      <c r="AX829" s="37"/>
    </row>
    <row r="830" spans="1:50" ht="20.100000000000001" customHeight="1" x14ac:dyDescent="0.25">
      <c r="A830" s="37"/>
      <c r="B830" s="58"/>
      <c r="C830" s="37"/>
      <c r="D830" s="97"/>
      <c r="E830" s="98"/>
      <c r="F830" s="101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3"/>
      <c r="T830" s="83"/>
      <c r="U830" s="85"/>
      <c r="V830" s="83"/>
      <c r="W830" s="85"/>
      <c r="X830" s="97"/>
      <c r="Y830" s="100"/>
      <c r="Z830" s="100"/>
      <c r="AA830" s="100"/>
      <c r="AB830" s="100"/>
      <c r="AC830" s="100"/>
      <c r="AD830" s="98"/>
      <c r="AE830" s="83"/>
      <c r="AF830" s="84"/>
      <c r="AG830" s="85"/>
      <c r="AH830" s="83"/>
      <c r="AI830" s="84"/>
      <c r="AJ830" s="84"/>
      <c r="AK830" s="85"/>
      <c r="AL830" s="83"/>
      <c r="AM830" s="84"/>
      <c r="AN830" s="85"/>
      <c r="AO830" s="60"/>
      <c r="AP830" s="61"/>
      <c r="AQ830" s="77">
        <f t="shared" si="25"/>
        <v>0</v>
      </c>
      <c r="AR830" s="37"/>
      <c r="AS830" s="78">
        <f t="shared" si="26"/>
        <v>0</v>
      </c>
      <c r="AT830" s="37"/>
      <c r="AU830" s="37"/>
      <c r="AV830" s="37"/>
      <c r="AW830" s="37"/>
      <c r="AX830" s="37"/>
    </row>
    <row r="831" spans="1:50" ht="20.100000000000001" customHeight="1" x14ac:dyDescent="0.25">
      <c r="A831" s="37"/>
      <c r="B831" s="58"/>
      <c r="C831" s="37"/>
      <c r="D831" s="97"/>
      <c r="E831" s="98"/>
      <c r="F831" s="101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3"/>
      <c r="T831" s="83"/>
      <c r="U831" s="85"/>
      <c r="V831" s="83"/>
      <c r="W831" s="85"/>
      <c r="X831" s="97"/>
      <c r="Y831" s="100"/>
      <c r="Z831" s="100"/>
      <c r="AA831" s="100"/>
      <c r="AB831" s="100"/>
      <c r="AC831" s="100"/>
      <c r="AD831" s="98"/>
      <c r="AE831" s="83"/>
      <c r="AF831" s="84"/>
      <c r="AG831" s="85"/>
      <c r="AH831" s="83"/>
      <c r="AI831" s="84"/>
      <c r="AJ831" s="84"/>
      <c r="AK831" s="85"/>
      <c r="AL831" s="83"/>
      <c r="AM831" s="84"/>
      <c r="AN831" s="85"/>
      <c r="AO831" s="60"/>
      <c r="AP831" s="61"/>
      <c r="AQ831" s="77">
        <f t="shared" si="25"/>
        <v>0</v>
      </c>
      <c r="AR831" s="37"/>
      <c r="AS831" s="78">
        <f t="shared" si="26"/>
        <v>0</v>
      </c>
      <c r="AT831" s="37"/>
      <c r="AU831" s="37"/>
      <c r="AV831" s="37"/>
      <c r="AW831" s="37"/>
      <c r="AX831" s="37"/>
    </row>
    <row r="832" spans="1:50" ht="20.100000000000001" customHeight="1" x14ac:dyDescent="0.25">
      <c r="A832" s="37"/>
      <c r="B832" s="58"/>
      <c r="C832" s="37"/>
      <c r="D832" s="97"/>
      <c r="E832" s="98"/>
      <c r="F832" s="101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3"/>
      <c r="T832" s="83"/>
      <c r="U832" s="85"/>
      <c r="V832" s="83"/>
      <c r="W832" s="85"/>
      <c r="X832" s="97"/>
      <c r="Y832" s="100"/>
      <c r="Z832" s="100"/>
      <c r="AA832" s="100"/>
      <c r="AB832" s="100"/>
      <c r="AC832" s="100"/>
      <c r="AD832" s="98"/>
      <c r="AE832" s="83"/>
      <c r="AF832" s="84"/>
      <c r="AG832" s="85"/>
      <c r="AH832" s="83"/>
      <c r="AI832" s="84"/>
      <c r="AJ832" s="84"/>
      <c r="AK832" s="85"/>
      <c r="AL832" s="83"/>
      <c r="AM832" s="84"/>
      <c r="AN832" s="85"/>
      <c r="AO832" s="60"/>
      <c r="AP832" s="61"/>
      <c r="AQ832" s="77">
        <f t="shared" si="25"/>
        <v>0</v>
      </c>
      <c r="AR832" s="37"/>
      <c r="AS832" s="78">
        <f t="shared" si="26"/>
        <v>0</v>
      </c>
      <c r="AT832" s="37"/>
      <c r="AU832" s="37"/>
      <c r="AV832" s="37"/>
      <c r="AW832" s="37"/>
      <c r="AX832" s="37"/>
    </row>
    <row r="833" spans="1:50" ht="20.100000000000001" customHeight="1" x14ac:dyDescent="0.25">
      <c r="A833" s="37"/>
      <c r="B833" s="58"/>
      <c r="C833" s="37"/>
      <c r="D833" s="97"/>
      <c r="E833" s="98"/>
      <c r="F833" s="101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3"/>
      <c r="T833" s="83"/>
      <c r="U833" s="85"/>
      <c r="V833" s="83"/>
      <c r="W833" s="85"/>
      <c r="X833" s="97"/>
      <c r="Y833" s="100"/>
      <c r="Z833" s="100"/>
      <c r="AA833" s="100"/>
      <c r="AB833" s="100"/>
      <c r="AC833" s="100"/>
      <c r="AD833" s="98"/>
      <c r="AE833" s="83"/>
      <c r="AF833" s="84"/>
      <c r="AG833" s="85"/>
      <c r="AH833" s="83"/>
      <c r="AI833" s="84"/>
      <c r="AJ833" s="84"/>
      <c r="AK833" s="85"/>
      <c r="AL833" s="83"/>
      <c r="AM833" s="84"/>
      <c r="AN833" s="85"/>
      <c r="AO833" s="60"/>
      <c r="AP833" s="61"/>
      <c r="AQ833" s="77">
        <f t="shared" si="25"/>
        <v>0</v>
      </c>
      <c r="AR833" s="37"/>
      <c r="AS833" s="78">
        <f t="shared" si="26"/>
        <v>0</v>
      </c>
      <c r="AT833" s="37"/>
      <c r="AU833" s="37"/>
      <c r="AV833" s="37"/>
      <c r="AW833" s="37"/>
      <c r="AX833" s="37"/>
    </row>
    <row r="834" spans="1:50" ht="20.100000000000001" customHeight="1" x14ac:dyDescent="0.25">
      <c r="A834" s="37"/>
      <c r="B834" s="58"/>
      <c r="C834" s="37"/>
      <c r="D834" s="97"/>
      <c r="E834" s="98"/>
      <c r="F834" s="101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3"/>
      <c r="T834" s="83"/>
      <c r="U834" s="85"/>
      <c r="V834" s="83"/>
      <c r="W834" s="85"/>
      <c r="X834" s="97"/>
      <c r="Y834" s="100"/>
      <c r="Z834" s="100"/>
      <c r="AA834" s="100"/>
      <c r="AB834" s="100"/>
      <c r="AC834" s="100"/>
      <c r="AD834" s="98"/>
      <c r="AE834" s="83"/>
      <c r="AF834" s="84"/>
      <c r="AG834" s="85"/>
      <c r="AH834" s="83"/>
      <c r="AI834" s="84"/>
      <c r="AJ834" s="84"/>
      <c r="AK834" s="85"/>
      <c r="AL834" s="83"/>
      <c r="AM834" s="84"/>
      <c r="AN834" s="85"/>
      <c r="AO834" s="60"/>
      <c r="AP834" s="61"/>
      <c r="AQ834" s="77">
        <f t="shared" si="25"/>
        <v>0</v>
      </c>
      <c r="AR834" s="37"/>
      <c r="AS834" s="78">
        <f t="shared" si="26"/>
        <v>0</v>
      </c>
      <c r="AT834" s="37"/>
      <c r="AU834" s="37"/>
      <c r="AV834" s="37"/>
      <c r="AW834" s="37"/>
      <c r="AX834" s="37"/>
    </row>
    <row r="835" spans="1:50" ht="20.100000000000001" customHeight="1" x14ac:dyDescent="0.25">
      <c r="A835" s="37"/>
      <c r="B835" s="58"/>
      <c r="C835" s="37"/>
      <c r="D835" s="97"/>
      <c r="E835" s="98"/>
      <c r="F835" s="101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3"/>
      <c r="T835" s="83"/>
      <c r="U835" s="85"/>
      <c r="V835" s="83"/>
      <c r="W835" s="85"/>
      <c r="X835" s="97"/>
      <c r="Y835" s="100"/>
      <c r="Z835" s="100"/>
      <c r="AA835" s="100"/>
      <c r="AB835" s="100"/>
      <c r="AC835" s="100"/>
      <c r="AD835" s="98"/>
      <c r="AE835" s="83"/>
      <c r="AF835" s="84"/>
      <c r="AG835" s="85"/>
      <c r="AH835" s="83"/>
      <c r="AI835" s="84"/>
      <c r="AJ835" s="84"/>
      <c r="AK835" s="85"/>
      <c r="AL835" s="83"/>
      <c r="AM835" s="84"/>
      <c r="AN835" s="85"/>
      <c r="AO835" s="60"/>
      <c r="AP835" s="61"/>
      <c r="AQ835" s="77">
        <f t="shared" si="25"/>
        <v>0</v>
      </c>
      <c r="AR835" s="37"/>
      <c r="AS835" s="78">
        <f t="shared" si="26"/>
        <v>0</v>
      </c>
      <c r="AT835" s="37"/>
      <c r="AU835" s="37"/>
      <c r="AV835" s="37"/>
      <c r="AW835" s="37"/>
      <c r="AX835" s="37"/>
    </row>
    <row r="836" spans="1:50" ht="20.100000000000001" customHeight="1" x14ac:dyDescent="0.25">
      <c r="A836" s="37"/>
      <c r="B836" s="58"/>
      <c r="C836" s="37"/>
      <c r="D836" s="97"/>
      <c r="E836" s="98"/>
      <c r="F836" s="101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3"/>
      <c r="T836" s="83"/>
      <c r="U836" s="85"/>
      <c r="V836" s="83"/>
      <c r="W836" s="85"/>
      <c r="X836" s="97"/>
      <c r="Y836" s="100"/>
      <c r="Z836" s="100"/>
      <c r="AA836" s="100"/>
      <c r="AB836" s="100"/>
      <c r="AC836" s="100"/>
      <c r="AD836" s="98"/>
      <c r="AE836" s="83"/>
      <c r="AF836" s="84"/>
      <c r="AG836" s="85"/>
      <c r="AH836" s="83"/>
      <c r="AI836" s="84"/>
      <c r="AJ836" s="84"/>
      <c r="AK836" s="85"/>
      <c r="AL836" s="83"/>
      <c r="AM836" s="84"/>
      <c r="AN836" s="85"/>
      <c r="AO836" s="60"/>
      <c r="AP836" s="61"/>
      <c r="AQ836" s="77">
        <f t="shared" si="25"/>
        <v>0</v>
      </c>
      <c r="AR836" s="37"/>
      <c r="AS836" s="78">
        <f t="shared" si="26"/>
        <v>0</v>
      </c>
      <c r="AT836" s="37"/>
      <c r="AU836" s="37"/>
      <c r="AV836" s="37"/>
      <c r="AW836" s="37"/>
      <c r="AX836" s="37"/>
    </row>
    <row r="837" spans="1:50" ht="20.100000000000001" customHeight="1" x14ac:dyDescent="0.25">
      <c r="A837" s="37"/>
      <c r="B837" s="58"/>
      <c r="C837" s="37"/>
      <c r="D837" s="97"/>
      <c r="E837" s="98"/>
      <c r="F837" s="101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3"/>
      <c r="T837" s="83"/>
      <c r="U837" s="85"/>
      <c r="V837" s="83"/>
      <c r="W837" s="85"/>
      <c r="X837" s="97"/>
      <c r="Y837" s="100"/>
      <c r="Z837" s="100"/>
      <c r="AA837" s="100"/>
      <c r="AB837" s="100"/>
      <c r="AC837" s="100"/>
      <c r="AD837" s="98"/>
      <c r="AE837" s="83"/>
      <c r="AF837" s="84"/>
      <c r="AG837" s="85"/>
      <c r="AH837" s="83"/>
      <c r="AI837" s="84"/>
      <c r="AJ837" s="84"/>
      <c r="AK837" s="85"/>
      <c r="AL837" s="83"/>
      <c r="AM837" s="84"/>
      <c r="AN837" s="85"/>
      <c r="AO837" s="60"/>
      <c r="AP837" s="61"/>
      <c r="AQ837" s="77">
        <f t="shared" si="25"/>
        <v>0</v>
      </c>
      <c r="AR837" s="37"/>
      <c r="AS837" s="78">
        <f t="shared" si="26"/>
        <v>0</v>
      </c>
      <c r="AT837" s="37"/>
      <c r="AU837" s="37"/>
      <c r="AV837" s="37"/>
      <c r="AW837" s="37"/>
      <c r="AX837" s="37"/>
    </row>
    <row r="838" spans="1:50" ht="20.100000000000001" customHeight="1" x14ac:dyDescent="0.25">
      <c r="A838" s="37"/>
      <c r="B838" s="58"/>
      <c r="C838" s="37"/>
      <c r="D838" s="97"/>
      <c r="E838" s="98"/>
      <c r="F838" s="101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3"/>
      <c r="T838" s="83"/>
      <c r="U838" s="85"/>
      <c r="V838" s="83"/>
      <c r="W838" s="85"/>
      <c r="X838" s="97"/>
      <c r="Y838" s="100"/>
      <c r="Z838" s="100"/>
      <c r="AA838" s="100"/>
      <c r="AB838" s="100"/>
      <c r="AC838" s="100"/>
      <c r="AD838" s="98"/>
      <c r="AE838" s="83"/>
      <c r="AF838" s="84"/>
      <c r="AG838" s="85"/>
      <c r="AH838" s="83"/>
      <c r="AI838" s="84"/>
      <c r="AJ838" s="84"/>
      <c r="AK838" s="85"/>
      <c r="AL838" s="83"/>
      <c r="AM838" s="84"/>
      <c r="AN838" s="85"/>
      <c r="AO838" s="60"/>
      <c r="AP838" s="61"/>
      <c r="AQ838" s="77">
        <f t="shared" ref="AQ838:AQ901" si="27">AP838-B838</f>
        <v>0</v>
      </c>
      <c r="AR838" s="37"/>
      <c r="AS838" s="78">
        <f t="shared" si="26"/>
        <v>0</v>
      </c>
      <c r="AT838" s="37"/>
      <c r="AU838" s="37"/>
      <c r="AV838" s="37"/>
      <c r="AW838" s="37"/>
      <c r="AX838" s="37"/>
    </row>
    <row r="839" spans="1:50" ht="20.100000000000001" customHeight="1" x14ac:dyDescent="0.25">
      <c r="A839" s="37"/>
      <c r="B839" s="58"/>
      <c r="C839" s="37"/>
      <c r="D839" s="97"/>
      <c r="E839" s="98"/>
      <c r="F839" s="101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3"/>
      <c r="T839" s="83"/>
      <c r="U839" s="85"/>
      <c r="V839" s="83"/>
      <c r="W839" s="85"/>
      <c r="X839" s="97"/>
      <c r="Y839" s="100"/>
      <c r="Z839" s="100"/>
      <c r="AA839" s="100"/>
      <c r="AB839" s="100"/>
      <c r="AC839" s="100"/>
      <c r="AD839" s="98"/>
      <c r="AE839" s="83"/>
      <c r="AF839" s="84"/>
      <c r="AG839" s="85"/>
      <c r="AH839" s="83"/>
      <c r="AI839" s="84"/>
      <c r="AJ839" s="84"/>
      <c r="AK839" s="85"/>
      <c r="AL839" s="83"/>
      <c r="AM839" s="84"/>
      <c r="AN839" s="85"/>
      <c r="AO839" s="60"/>
      <c r="AP839" s="61"/>
      <c r="AQ839" s="77">
        <f t="shared" si="27"/>
        <v>0</v>
      </c>
      <c r="AR839" s="37"/>
      <c r="AS839" s="78">
        <f t="shared" ref="AS839:AS902" si="28">AP839-AR839</f>
        <v>0</v>
      </c>
      <c r="AT839" s="37"/>
      <c r="AU839" s="37"/>
      <c r="AV839" s="37"/>
      <c r="AW839" s="37"/>
      <c r="AX839" s="37"/>
    </row>
    <row r="840" spans="1:50" ht="20.100000000000001" customHeight="1" x14ac:dyDescent="0.25">
      <c r="A840" s="37"/>
      <c r="B840" s="58"/>
      <c r="C840" s="37"/>
      <c r="D840" s="97"/>
      <c r="E840" s="98"/>
      <c r="F840" s="101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3"/>
      <c r="T840" s="83"/>
      <c r="U840" s="85"/>
      <c r="V840" s="83"/>
      <c r="W840" s="85"/>
      <c r="X840" s="97"/>
      <c r="Y840" s="100"/>
      <c r="Z840" s="100"/>
      <c r="AA840" s="100"/>
      <c r="AB840" s="100"/>
      <c r="AC840" s="100"/>
      <c r="AD840" s="98"/>
      <c r="AE840" s="83"/>
      <c r="AF840" s="84"/>
      <c r="AG840" s="85"/>
      <c r="AH840" s="83"/>
      <c r="AI840" s="84"/>
      <c r="AJ840" s="84"/>
      <c r="AK840" s="85"/>
      <c r="AL840" s="83"/>
      <c r="AM840" s="84"/>
      <c r="AN840" s="85"/>
      <c r="AO840" s="60"/>
      <c r="AP840" s="61"/>
      <c r="AQ840" s="77">
        <f t="shared" si="27"/>
        <v>0</v>
      </c>
      <c r="AR840" s="37"/>
      <c r="AS840" s="78">
        <f t="shared" si="28"/>
        <v>0</v>
      </c>
      <c r="AT840" s="37"/>
      <c r="AU840" s="37"/>
      <c r="AV840" s="37"/>
      <c r="AW840" s="37"/>
      <c r="AX840" s="37"/>
    </row>
    <row r="841" spans="1:50" ht="20.100000000000001" customHeight="1" x14ac:dyDescent="0.25">
      <c r="A841" s="37"/>
      <c r="B841" s="58"/>
      <c r="C841" s="37"/>
      <c r="D841" s="97"/>
      <c r="E841" s="98"/>
      <c r="F841" s="101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3"/>
      <c r="T841" s="83"/>
      <c r="U841" s="85"/>
      <c r="V841" s="83"/>
      <c r="W841" s="85"/>
      <c r="X841" s="97"/>
      <c r="Y841" s="100"/>
      <c r="Z841" s="100"/>
      <c r="AA841" s="100"/>
      <c r="AB841" s="100"/>
      <c r="AC841" s="100"/>
      <c r="AD841" s="98"/>
      <c r="AE841" s="83"/>
      <c r="AF841" s="84"/>
      <c r="AG841" s="85"/>
      <c r="AH841" s="83"/>
      <c r="AI841" s="84"/>
      <c r="AJ841" s="84"/>
      <c r="AK841" s="85"/>
      <c r="AL841" s="83"/>
      <c r="AM841" s="84"/>
      <c r="AN841" s="85"/>
      <c r="AO841" s="60"/>
      <c r="AP841" s="61"/>
      <c r="AQ841" s="77">
        <f t="shared" si="27"/>
        <v>0</v>
      </c>
      <c r="AR841" s="37"/>
      <c r="AS841" s="78">
        <f t="shared" si="28"/>
        <v>0</v>
      </c>
      <c r="AT841" s="37"/>
      <c r="AU841" s="37"/>
      <c r="AV841" s="37"/>
      <c r="AW841" s="37"/>
      <c r="AX841" s="37"/>
    </row>
    <row r="842" spans="1:50" ht="20.100000000000001" customHeight="1" x14ac:dyDescent="0.25">
      <c r="A842" s="37"/>
      <c r="B842" s="58"/>
      <c r="C842" s="37"/>
      <c r="D842" s="97"/>
      <c r="E842" s="98"/>
      <c r="F842" s="101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3"/>
      <c r="T842" s="83"/>
      <c r="U842" s="85"/>
      <c r="V842" s="83"/>
      <c r="W842" s="85"/>
      <c r="X842" s="97"/>
      <c r="Y842" s="100"/>
      <c r="Z842" s="100"/>
      <c r="AA842" s="100"/>
      <c r="AB842" s="100"/>
      <c r="AC842" s="100"/>
      <c r="AD842" s="98"/>
      <c r="AE842" s="83"/>
      <c r="AF842" s="84"/>
      <c r="AG842" s="85"/>
      <c r="AH842" s="83"/>
      <c r="AI842" s="84"/>
      <c r="AJ842" s="84"/>
      <c r="AK842" s="85"/>
      <c r="AL842" s="83"/>
      <c r="AM842" s="84"/>
      <c r="AN842" s="85"/>
      <c r="AO842" s="60"/>
      <c r="AP842" s="61"/>
      <c r="AQ842" s="77">
        <f t="shared" si="27"/>
        <v>0</v>
      </c>
      <c r="AR842" s="37"/>
      <c r="AS842" s="78">
        <f t="shared" si="28"/>
        <v>0</v>
      </c>
      <c r="AT842" s="37"/>
      <c r="AU842" s="37"/>
      <c r="AV842" s="37"/>
      <c r="AW842" s="37"/>
      <c r="AX842" s="37"/>
    </row>
    <row r="843" spans="1:50" ht="20.100000000000001" customHeight="1" x14ac:dyDescent="0.25">
      <c r="A843" s="37"/>
      <c r="B843" s="58"/>
      <c r="C843" s="37"/>
      <c r="D843" s="97"/>
      <c r="E843" s="98"/>
      <c r="F843" s="101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3"/>
      <c r="T843" s="83"/>
      <c r="U843" s="85"/>
      <c r="V843" s="83"/>
      <c r="W843" s="85"/>
      <c r="X843" s="97"/>
      <c r="Y843" s="100"/>
      <c r="Z843" s="100"/>
      <c r="AA843" s="100"/>
      <c r="AB843" s="100"/>
      <c r="AC843" s="100"/>
      <c r="AD843" s="98"/>
      <c r="AE843" s="83"/>
      <c r="AF843" s="84"/>
      <c r="AG843" s="85"/>
      <c r="AH843" s="83"/>
      <c r="AI843" s="84"/>
      <c r="AJ843" s="84"/>
      <c r="AK843" s="85"/>
      <c r="AL843" s="83"/>
      <c r="AM843" s="84"/>
      <c r="AN843" s="85"/>
      <c r="AO843" s="60"/>
      <c r="AP843" s="61"/>
      <c r="AQ843" s="77">
        <f t="shared" si="27"/>
        <v>0</v>
      </c>
      <c r="AR843" s="37"/>
      <c r="AS843" s="78">
        <f t="shared" si="28"/>
        <v>0</v>
      </c>
      <c r="AT843" s="37"/>
      <c r="AU843" s="37"/>
      <c r="AV843" s="37"/>
      <c r="AW843" s="37"/>
      <c r="AX843" s="37"/>
    </row>
    <row r="844" spans="1:50" ht="20.100000000000001" customHeight="1" x14ac:dyDescent="0.25">
      <c r="A844" s="37"/>
      <c r="B844" s="58"/>
      <c r="C844" s="37"/>
      <c r="D844" s="97"/>
      <c r="E844" s="98"/>
      <c r="F844" s="101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3"/>
      <c r="T844" s="83"/>
      <c r="U844" s="85"/>
      <c r="V844" s="83"/>
      <c r="W844" s="85"/>
      <c r="X844" s="97"/>
      <c r="Y844" s="100"/>
      <c r="Z844" s="100"/>
      <c r="AA844" s="100"/>
      <c r="AB844" s="100"/>
      <c r="AC844" s="100"/>
      <c r="AD844" s="98"/>
      <c r="AE844" s="83"/>
      <c r="AF844" s="84"/>
      <c r="AG844" s="85"/>
      <c r="AH844" s="83"/>
      <c r="AI844" s="84"/>
      <c r="AJ844" s="84"/>
      <c r="AK844" s="85"/>
      <c r="AL844" s="83"/>
      <c r="AM844" s="84"/>
      <c r="AN844" s="85"/>
      <c r="AO844" s="60"/>
      <c r="AP844" s="61"/>
      <c r="AQ844" s="77">
        <f t="shared" si="27"/>
        <v>0</v>
      </c>
      <c r="AR844" s="37"/>
      <c r="AS844" s="78">
        <f t="shared" si="28"/>
        <v>0</v>
      </c>
      <c r="AT844" s="37"/>
      <c r="AU844" s="37"/>
      <c r="AV844" s="37"/>
      <c r="AW844" s="37"/>
      <c r="AX844" s="37"/>
    </row>
    <row r="845" spans="1:50" ht="20.100000000000001" customHeight="1" x14ac:dyDescent="0.25">
      <c r="A845" s="37"/>
      <c r="B845" s="58"/>
      <c r="C845" s="37"/>
      <c r="D845" s="97"/>
      <c r="E845" s="98"/>
      <c r="F845" s="101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3"/>
      <c r="T845" s="83"/>
      <c r="U845" s="85"/>
      <c r="V845" s="83"/>
      <c r="W845" s="85"/>
      <c r="X845" s="97"/>
      <c r="Y845" s="100"/>
      <c r="Z845" s="100"/>
      <c r="AA845" s="100"/>
      <c r="AB845" s="100"/>
      <c r="AC845" s="100"/>
      <c r="AD845" s="98"/>
      <c r="AE845" s="83"/>
      <c r="AF845" s="84"/>
      <c r="AG845" s="85"/>
      <c r="AH845" s="83"/>
      <c r="AI845" s="84"/>
      <c r="AJ845" s="84"/>
      <c r="AK845" s="85"/>
      <c r="AL845" s="83"/>
      <c r="AM845" s="84"/>
      <c r="AN845" s="85"/>
      <c r="AO845" s="60"/>
      <c r="AP845" s="61"/>
      <c r="AQ845" s="77">
        <f t="shared" si="27"/>
        <v>0</v>
      </c>
      <c r="AR845" s="37"/>
      <c r="AS845" s="78">
        <f t="shared" si="28"/>
        <v>0</v>
      </c>
      <c r="AT845" s="37"/>
      <c r="AU845" s="37"/>
      <c r="AV845" s="37"/>
      <c r="AW845" s="37"/>
      <c r="AX845" s="37"/>
    </row>
    <row r="846" spans="1:50" ht="20.100000000000001" customHeight="1" x14ac:dyDescent="0.25">
      <c r="A846" s="37"/>
      <c r="B846" s="58"/>
      <c r="C846" s="37"/>
      <c r="D846" s="97"/>
      <c r="E846" s="98"/>
      <c r="F846" s="101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3"/>
      <c r="T846" s="83"/>
      <c r="U846" s="85"/>
      <c r="V846" s="83"/>
      <c r="W846" s="85"/>
      <c r="X846" s="97"/>
      <c r="Y846" s="100"/>
      <c r="Z846" s="100"/>
      <c r="AA846" s="100"/>
      <c r="AB846" s="100"/>
      <c r="AC846" s="100"/>
      <c r="AD846" s="98"/>
      <c r="AE846" s="83"/>
      <c r="AF846" s="84"/>
      <c r="AG846" s="85"/>
      <c r="AH846" s="83"/>
      <c r="AI846" s="84"/>
      <c r="AJ846" s="84"/>
      <c r="AK846" s="85"/>
      <c r="AL846" s="83"/>
      <c r="AM846" s="84"/>
      <c r="AN846" s="85"/>
      <c r="AO846" s="60"/>
      <c r="AP846" s="61"/>
      <c r="AQ846" s="77">
        <f t="shared" si="27"/>
        <v>0</v>
      </c>
      <c r="AR846" s="37"/>
      <c r="AS846" s="78">
        <f t="shared" si="28"/>
        <v>0</v>
      </c>
      <c r="AT846" s="37"/>
      <c r="AU846" s="37"/>
      <c r="AV846" s="37"/>
      <c r="AW846" s="37"/>
      <c r="AX846" s="37"/>
    </row>
    <row r="847" spans="1:50" ht="20.100000000000001" customHeight="1" x14ac:dyDescent="0.25">
      <c r="A847" s="37"/>
      <c r="B847" s="58"/>
      <c r="C847" s="37"/>
      <c r="D847" s="97"/>
      <c r="E847" s="98"/>
      <c r="F847" s="101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3"/>
      <c r="T847" s="83"/>
      <c r="U847" s="85"/>
      <c r="V847" s="83"/>
      <c r="W847" s="85"/>
      <c r="X847" s="97"/>
      <c r="Y847" s="100"/>
      <c r="Z847" s="100"/>
      <c r="AA847" s="100"/>
      <c r="AB847" s="100"/>
      <c r="AC847" s="100"/>
      <c r="AD847" s="98"/>
      <c r="AE847" s="83"/>
      <c r="AF847" s="84"/>
      <c r="AG847" s="85"/>
      <c r="AH847" s="83"/>
      <c r="AI847" s="84"/>
      <c r="AJ847" s="84"/>
      <c r="AK847" s="85"/>
      <c r="AL847" s="83"/>
      <c r="AM847" s="84"/>
      <c r="AN847" s="85"/>
      <c r="AO847" s="60"/>
      <c r="AP847" s="61"/>
      <c r="AQ847" s="77">
        <f t="shared" si="27"/>
        <v>0</v>
      </c>
      <c r="AR847" s="37"/>
      <c r="AS847" s="78">
        <f t="shared" si="28"/>
        <v>0</v>
      </c>
      <c r="AT847" s="37"/>
      <c r="AU847" s="37"/>
      <c r="AV847" s="37"/>
      <c r="AW847" s="37"/>
      <c r="AX847" s="37"/>
    </row>
    <row r="848" spans="1:50" ht="20.100000000000001" customHeight="1" x14ac:dyDescent="0.25">
      <c r="A848" s="37"/>
      <c r="B848" s="58"/>
      <c r="C848" s="37"/>
      <c r="D848" s="97"/>
      <c r="E848" s="98"/>
      <c r="F848" s="101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3"/>
      <c r="T848" s="83"/>
      <c r="U848" s="85"/>
      <c r="V848" s="83"/>
      <c r="W848" s="85"/>
      <c r="X848" s="97"/>
      <c r="Y848" s="100"/>
      <c r="Z848" s="100"/>
      <c r="AA848" s="100"/>
      <c r="AB848" s="100"/>
      <c r="AC848" s="100"/>
      <c r="AD848" s="98"/>
      <c r="AE848" s="83"/>
      <c r="AF848" s="84"/>
      <c r="AG848" s="85"/>
      <c r="AH848" s="83"/>
      <c r="AI848" s="84"/>
      <c r="AJ848" s="84"/>
      <c r="AK848" s="85"/>
      <c r="AL848" s="83"/>
      <c r="AM848" s="84"/>
      <c r="AN848" s="85"/>
      <c r="AO848" s="60"/>
      <c r="AP848" s="61"/>
      <c r="AQ848" s="77">
        <f t="shared" si="27"/>
        <v>0</v>
      </c>
      <c r="AR848" s="37"/>
      <c r="AS848" s="78">
        <f t="shared" si="28"/>
        <v>0</v>
      </c>
      <c r="AT848" s="37"/>
      <c r="AU848" s="37"/>
      <c r="AV848" s="37"/>
      <c r="AW848" s="37"/>
      <c r="AX848" s="37"/>
    </row>
    <row r="849" spans="1:50" ht="20.100000000000001" customHeight="1" x14ac:dyDescent="0.25">
      <c r="A849" s="37"/>
      <c r="B849" s="58"/>
      <c r="C849" s="37"/>
      <c r="D849" s="97"/>
      <c r="E849" s="98"/>
      <c r="F849" s="101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3"/>
      <c r="T849" s="83"/>
      <c r="U849" s="85"/>
      <c r="V849" s="83"/>
      <c r="W849" s="85"/>
      <c r="X849" s="97"/>
      <c r="Y849" s="100"/>
      <c r="Z849" s="100"/>
      <c r="AA849" s="100"/>
      <c r="AB849" s="100"/>
      <c r="AC849" s="100"/>
      <c r="AD849" s="98"/>
      <c r="AE849" s="83"/>
      <c r="AF849" s="84"/>
      <c r="AG849" s="85"/>
      <c r="AH849" s="83"/>
      <c r="AI849" s="84"/>
      <c r="AJ849" s="84"/>
      <c r="AK849" s="85"/>
      <c r="AL849" s="83"/>
      <c r="AM849" s="84"/>
      <c r="AN849" s="85"/>
      <c r="AO849" s="60"/>
      <c r="AP849" s="61"/>
      <c r="AQ849" s="77">
        <f t="shared" si="27"/>
        <v>0</v>
      </c>
      <c r="AR849" s="37"/>
      <c r="AS849" s="78">
        <f t="shared" si="28"/>
        <v>0</v>
      </c>
      <c r="AT849" s="37"/>
      <c r="AU849" s="37"/>
      <c r="AV849" s="37"/>
      <c r="AW849" s="37"/>
      <c r="AX849" s="37"/>
    </row>
    <row r="850" spans="1:50" ht="20.100000000000001" customHeight="1" x14ac:dyDescent="0.25">
      <c r="A850" s="37"/>
      <c r="B850" s="58"/>
      <c r="C850" s="37"/>
      <c r="D850" s="97"/>
      <c r="E850" s="98"/>
      <c r="F850" s="101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3"/>
      <c r="T850" s="83"/>
      <c r="U850" s="85"/>
      <c r="V850" s="83"/>
      <c r="W850" s="85"/>
      <c r="X850" s="97"/>
      <c r="Y850" s="100"/>
      <c r="Z850" s="100"/>
      <c r="AA850" s="100"/>
      <c r="AB850" s="100"/>
      <c r="AC850" s="100"/>
      <c r="AD850" s="98"/>
      <c r="AE850" s="83"/>
      <c r="AF850" s="84"/>
      <c r="AG850" s="85"/>
      <c r="AH850" s="83"/>
      <c r="AI850" s="84"/>
      <c r="AJ850" s="84"/>
      <c r="AK850" s="85"/>
      <c r="AL850" s="83"/>
      <c r="AM850" s="84"/>
      <c r="AN850" s="85"/>
      <c r="AO850" s="60"/>
      <c r="AP850" s="61"/>
      <c r="AQ850" s="77">
        <f t="shared" si="27"/>
        <v>0</v>
      </c>
      <c r="AR850" s="37"/>
      <c r="AS850" s="78">
        <f t="shared" si="28"/>
        <v>0</v>
      </c>
      <c r="AT850" s="37"/>
      <c r="AU850" s="37"/>
      <c r="AV850" s="37"/>
      <c r="AW850" s="37"/>
      <c r="AX850" s="37"/>
    </row>
    <row r="851" spans="1:50" ht="20.100000000000001" customHeight="1" x14ac:dyDescent="0.25">
      <c r="A851" s="37"/>
      <c r="B851" s="58"/>
      <c r="C851" s="37"/>
      <c r="D851" s="97"/>
      <c r="E851" s="98"/>
      <c r="F851" s="101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3"/>
      <c r="T851" s="83"/>
      <c r="U851" s="85"/>
      <c r="V851" s="83"/>
      <c r="W851" s="85"/>
      <c r="X851" s="97"/>
      <c r="Y851" s="100"/>
      <c r="Z851" s="100"/>
      <c r="AA851" s="100"/>
      <c r="AB851" s="100"/>
      <c r="AC851" s="100"/>
      <c r="AD851" s="98"/>
      <c r="AE851" s="83"/>
      <c r="AF851" s="84"/>
      <c r="AG851" s="85"/>
      <c r="AH851" s="83"/>
      <c r="AI851" s="84"/>
      <c r="AJ851" s="84"/>
      <c r="AK851" s="85"/>
      <c r="AL851" s="83"/>
      <c r="AM851" s="84"/>
      <c r="AN851" s="85"/>
      <c r="AO851" s="60"/>
      <c r="AP851" s="61"/>
      <c r="AQ851" s="77">
        <f t="shared" si="27"/>
        <v>0</v>
      </c>
      <c r="AR851" s="37"/>
      <c r="AS851" s="78">
        <f t="shared" si="28"/>
        <v>0</v>
      </c>
      <c r="AT851" s="37"/>
      <c r="AU851" s="37"/>
      <c r="AV851" s="37"/>
      <c r="AW851" s="37"/>
      <c r="AX851" s="37"/>
    </row>
    <row r="852" spans="1:50" ht="20.100000000000001" customHeight="1" x14ac:dyDescent="0.25">
      <c r="A852" s="37"/>
      <c r="B852" s="58"/>
      <c r="C852" s="37"/>
      <c r="D852" s="97"/>
      <c r="E852" s="98"/>
      <c r="F852" s="101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3"/>
      <c r="T852" s="83"/>
      <c r="U852" s="85"/>
      <c r="V852" s="83"/>
      <c r="W852" s="85"/>
      <c r="X852" s="97"/>
      <c r="Y852" s="100"/>
      <c r="Z852" s="100"/>
      <c r="AA852" s="100"/>
      <c r="AB852" s="100"/>
      <c r="AC852" s="100"/>
      <c r="AD852" s="98"/>
      <c r="AE852" s="83"/>
      <c r="AF852" s="84"/>
      <c r="AG852" s="85"/>
      <c r="AH852" s="83"/>
      <c r="AI852" s="84"/>
      <c r="AJ852" s="84"/>
      <c r="AK852" s="85"/>
      <c r="AL852" s="83"/>
      <c r="AM852" s="84"/>
      <c r="AN852" s="85"/>
      <c r="AO852" s="60"/>
      <c r="AP852" s="61"/>
      <c r="AQ852" s="77">
        <f t="shared" si="27"/>
        <v>0</v>
      </c>
      <c r="AR852" s="37"/>
      <c r="AS852" s="78">
        <f t="shared" si="28"/>
        <v>0</v>
      </c>
      <c r="AT852" s="37"/>
      <c r="AU852" s="37"/>
      <c r="AV852" s="37"/>
      <c r="AW852" s="37"/>
      <c r="AX852" s="37"/>
    </row>
    <row r="853" spans="1:50" ht="20.100000000000001" customHeight="1" x14ac:dyDescent="0.25">
      <c r="A853" s="37"/>
      <c r="B853" s="58"/>
      <c r="C853" s="37"/>
      <c r="D853" s="97"/>
      <c r="E853" s="98"/>
      <c r="F853" s="101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3"/>
      <c r="T853" s="83"/>
      <c r="U853" s="85"/>
      <c r="V853" s="83"/>
      <c r="W853" s="85"/>
      <c r="X853" s="97"/>
      <c r="Y853" s="100"/>
      <c r="Z853" s="100"/>
      <c r="AA853" s="100"/>
      <c r="AB853" s="100"/>
      <c r="AC853" s="100"/>
      <c r="AD853" s="98"/>
      <c r="AE853" s="83"/>
      <c r="AF853" s="84"/>
      <c r="AG853" s="85"/>
      <c r="AH853" s="83"/>
      <c r="AI853" s="84"/>
      <c r="AJ853" s="84"/>
      <c r="AK853" s="85"/>
      <c r="AL853" s="83"/>
      <c r="AM853" s="84"/>
      <c r="AN853" s="85"/>
      <c r="AO853" s="60"/>
      <c r="AP853" s="61"/>
      <c r="AQ853" s="77">
        <f t="shared" si="27"/>
        <v>0</v>
      </c>
      <c r="AR853" s="37"/>
      <c r="AS853" s="78">
        <f t="shared" si="28"/>
        <v>0</v>
      </c>
      <c r="AT853" s="37"/>
      <c r="AU853" s="37"/>
      <c r="AV853" s="37"/>
      <c r="AW853" s="37"/>
      <c r="AX853" s="37"/>
    </row>
    <row r="854" spans="1:50" ht="20.100000000000001" customHeight="1" x14ac:dyDescent="0.25">
      <c r="A854" s="37"/>
      <c r="B854" s="58"/>
      <c r="C854" s="37"/>
      <c r="D854" s="97"/>
      <c r="E854" s="98"/>
      <c r="F854" s="101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3"/>
      <c r="T854" s="83"/>
      <c r="U854" s="85"/>
      <c r="V854" s="83"/>
      <c r="W854" s="85"/>
      <c r="X854" s="97"/>
      <c r="Y854" s="100"/>
      <c r="Z854" s="100"/>
      <c r="AA854" s="100"/>
      <c r="AB854" s="100"/>
      <c r="AC854" s="100"/>
      <c r="AD854" s="98"/>
      <c r="AE854" s="83"/>
      <c r="AF854" s="84"/>
      <c r="AG854" s="85"/>
      <c r="AH854" s="83"/>
      <c r="AI854" s="84"/>
      <c r="AJ854" s="84"/>
      <c r="AK854" s="85"/>
      <c r="AL854" s="83"/>
      <c r="AM854" s="84"/>
      <c r="AN854" s="85"/>
      <c r="AO854" s="60"/>
      <c r="AP854" s="61"/>
      <c r="AQ854" s="77">
        <f t="shared" si="27"/>
        <v>0</v>
      </c>
      <c r="AR854" s="37"/>
      <c r="AS854" s="78">
        <f t="shared" si="28"/>
        <v>0</v>
      </c>
      <c r="AT854" s="37"/>
      <c r="AU854" s="37"/>
      <c r="AV854" s="37"/>
      <c r="AW854" s="37"/>
      <c r="AX854" s="37"/>
    </row>
    <row r="855" spans="1:50" ht="20.100000000000001" customHeight="1" x14ac:dyDescent="0.25">
      <c r="A855" s="37"/>
      <c r="B855" s="58"/>
      <c r="C855" s="37"/>
      <c r="D855" s="97"/>
      <c r="E855" s="98"/>
      <c r="F855" s="101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3"/>
      <c r="T855" s="83"/>
      <c r="U855" s="85"/>
      <c r="V855" s="83"/>
      <c r="W855" s="85"/>
      <c r="X855" s="97"/>
      <c r="Y855" s="100"/>
      <c r="Z855" s="100"/>
      <c r="AA855" s="100"/>
      <c r="AB855" s="100"/>
      <c r="AC855" s="100"/>
      <c r="AD855" s="98"/>
      <c r="AE855" s="83"/>
      <c r="AF855" s="84"/>
      <c r="AG855" s="85"/>
      <c r="AH855" s="83"/>
      <c r="AI855" s="84"/>
      <c r="AJ855" s="84"/>
      <c r="AK855" s="85"/>
      <c r="AL855" s="83"/>
      <c r="AM855" s="84"/>
      <c r="AN855" s="85"/>
      <c r="AO855" s="60"/>
      <c r="AP855" s="61"/>
      <c r="AQ855" s="77">
        <f t="shared" si="27"/>
        <v>0</v>
      </c>
      <c r="AR855" s="37"/>
      <c r="AS855" s="78">
        <f t="shared" si="28"/>
        <v>0</v>
      </c>
      <c r="AT855" s="37"/>
      <c r="AU855" s="37"/>
      <c r="AV855" s="37"/>
      <c r="AW855" s="37"/>
      <c r="AX855" s="37"/>
    </row>
    <row r="856" spans="1:50" ht="20.100000000000001" customHeight="1" x14ac:dyDescent="0.25">
      <c r="A856" s="37"/>
      <c r="B856" s="58"/>
      <c r="C856" s="37"/>
      <c r="D856" s="97"/>
      <c r="E856" s="98"/>
      <c r="F856" s="101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3"/>
      <c r="T856" s="83"/>
      <c r="U856" s="85"/>
      <c r="V856" s="83"/>
      <c r="W856" s="85"/>
      <c r="X856" s="97"/>
      <c r="Y856" s="100"/>
      <c r="Z856" s="100"/>
      <c r="AA856" s="100"/>
      <c r="AB856" s="100"/>
      <c r="AC856" s="100"/>
      <c r="AD856" s="98"/>
      <c r="AE856" s="83"/>
      <c r="AF856" s="84"/>
      <c r="AG856" s="85"/>
      <c r="AH856" s="83"/>
      <c r="AI856" s="84"/>
      <c r="AJ856" s="84"/>
      <c r="AK856" s="85"/>
      <c r="AL856" s="83"/>
      <c r="AM856" s="84"/>
      <c r="AN856" s="85"/>
      <c r="AO856" s="60"/>
      <c r="AP856" s="61"/>
      <c r="AQ856" s="77">
        <f t="shared" si="27"/>
        <v>0</v>
      </c>
      <c r="AR856" s="37"/>
      <c r="AS856" s="78">
        <f t="shared" si="28"/>
        <v>0</v>
      </c>
      <c r="AT856" s="37"/>
      <c r="AU856" s="37"/>
      <c r="AV856" s="37"/>
      <c r="AW856" s="37"/>
      <c r="AX856" s="37"/>
    </row>
    <row r="857" spans="1:50" ht="20.100000000000001" customHeight="1" x14ac:dyDescent="0.25">
      <c r="A857" s="37"/>
      <c r="B857" s="58"/>
      <c r="C857" s="37"/>
      <c r="D857" s="97"/>
      <c r="E857" s="98"/>
      <c r="F857" s="101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3"/>
      <c r="T857" s="83"/>
      <c r="U857" s="85"/>
      <c r="V857" s="83"/>
      <c r="W857" s="85"/>
      <c r="X857" s="97"/>
      <c r="Y857" s="100"/>
      <c r="Z857" s="100"/>
      <c r="AA857" s="100"/>
      <c r="AB857" s="100"/>
      <c r="AC857" s="100"/>
      <c r="AD857" s="98"/>
      <c r="AE857" s="83"/>
      <c r="AF857" s="84"/>
      <c r="AG857" s="85"/>
      <c r="AH857" s="83"/>
      <c r="AI857" s="84"/>
      <c r="AJ857" s="84"/>
      <c r="AK857" s="85"/>
      <c r="AL857" s="83"/>
      <c r="AM857" s="84"/>
      <c r="AN857" s="85"/>
      <c r="AO857" s="60"/>
      <c r="AP857" s="61"/>
      <c r="AQ857" s="77">
        <f t="shared" si="27"/>
        <v>0</v>
      </c>
      <c r="AR857" s="37"/>
      <c r="AS857" s="78">
        <f t="shared" si="28"/>
        <v>0</v>
      </c>
      <c r="AT857" s="37"/>
      <c r="AU857" s="37"/>
      <c r="AV857" s="37"/>
      <c r="AW857" s="37"/>
      <c r="AX857" s="37"/>
    </row>
    <row r="858" spans="1:50" ht="20.100000000000001" customHeight="1" x14ac:dyDescent="0.25">
      <c r="A858" s="37"/>
      <c r="B858" s="58"/>
      <c r="C858" s="37"/>
      <c r="D858" s="97"/>
      <c r="E858" s="98"/>
      <c r="F858" s="101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3"/>
      <c r="T858" s="83"/>
      <c r="U858" s="85"/>
      <c r="V858" s="83"/>
      <c r="W858" s="85"/>
      <c r="X858" s="97"/>
      <c r="Y858" s="100"/>
      <c r="Z858" s="100"/>
      <c r="AA858" s="100"/>
      <c r="AB858" s="100"/>
      <c r="AC858" s="100"/>
      <c r="AD858" s="98"/>
      <c r="AE858" s="83"/>
      <c r="AF858" s="84"/>
      <c r="AG858" s="85"/>
      <c r="AH858" s="83"/>
      <c r="AI858" s="84"/>
      <c r="AJ858" s="84"/>
      <c r="AK858" s="85"/>
      <c r="AL858" s="83"/>
      <c r="AM858" s="84"/>
      <c r="AN858" s="85"/>
      <c r="AO858" s="60"/>
      <c r="AP858" s="61"/>
      <c r="AQ858" s="77">
        <f t="shared" si="27"/>
        <v>0</v>
      </c>
      <c r="AR858" s="37"/>
      <c r="AS858" s="78">
        <f t="shared" si="28"/>
        <v>0</v>
      </c>
      <c r="AT858" s="37"/>
      <c r="AU858" s="37"/>
      <c r="AV858" s="37"/>
      <c r="AW858" s="37"/>
      <c r="AX858" s="37"/>
    </row>
    <row r="859" spans="1:50" ht="20.100000000000001" customHeight="1" x14ac:dyDescent="0.25">
      <c r="A859" s="37"/>
      <c r="B859" s="58"/>
      <c r="C859" s="37"/>
      <c r="D859" s="97"/>
      <c r="E859" s="98"/>
      <c r="F859" s="101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3"/>
      <c r="T859" s="83"/>
      <c r="U859" s="85"/>
      <c r="V859" s="83"/>
      <c r="W859" s="85"/>
      <c r="X859" s="97"/>
      <c r="Y859" s="100"/>
      <c r="Z859" s="100"/>
      <c r="AA859" s="100"/>
      <c r="AB859" s="100"/>
      <c r="AC859" s="100"/>
      <c r="AD859" s="98"/>
      <c r="AE859" s="83"/>
      <c r="AF859" s="84"/>
      <c r="AG859" s="85"/>
      <c r="AH859" s="83"/>
      <c r="AI859" s="84"/>
      <c r="AJ859" s="84"/>
      <c r="AK859" s="85"/>
      <c r="AL859" s="83"/>
      <c r="AM859" s="84"/>
      <c r="AN859" s="85"/>
      <c r="AO859" s="60"/>
      <c r="AP859" s="61"/>
      <c r="AQ859" s="77">
        <f t="shared" si="27"/>
        <v>0</v>
      </c>
      <c r="AR859" s="37"/>
      <c r="AS859" s="78">
        <f t="shared" si="28"/>
        <v>0</v>
      </c>
      <c r="AT859" s="37"/>
      <c r="AU859" s="37"/>
      <c r="AV859" s="37"/>
      <c r="AW859" s="37"/>
      <c r="AX859" s="37"/>
    </row>
    <row r="860" spans="1:50" ht="20.100000000000001" customHeight="1" x14ac:dyDescent="0.25">
      <c r="A860" s="37"/>
      <c r="B860" s="58"/>
      <c r="C860" s="37"/>
      <c r="D860" s="97"/>
      <c r="E860" s="98"/>
      <c r="F860" s="101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3"/>
      <c r="T860" s="83"/>
      <c r="U860" s="85"/>
      <c r="V860" s="83"/>
      <c r="W860" s="85"/>
      <c r="X860" s="97"/>
      <c r="Y860" s="100"/>
      <c r="Z860" s="100"/>
      <c r="AA860" s="100"/>
      <c r="AB860" s="100"/>
      <c r="AC860" s="100"/>
      <c r="AD860" s="98"/>
      <c r="AE860" s="83"/>
      <c r="AF860" s="84"/>
      <c r="AG860" s="85"/>
      <c r="AH860" s="83"/>
      <c r="AI860" s="84"/>
      <c r="AJ860" s="84"/>
      <c r="AK860" s="85"/>
      <c r="AL860" s="83"/>
      <c r="AM860" s="84"/>
      <c r="AN860" s="85"/>
      <c r="AO860" s="60"/>
      <c r="AP860" s="61"/>
      <c r="AQ860" s="77">
        <f t="shared" si="27"/>
        <v>0</v>
      </c>
      <c r="AR860" s="37"/>
      <c r="AS860" s="78">
        <f t="shared" si="28"/>
        <v>0</v>
      </c>
      <c r="AT860" s="37"/>
      <c r="AU860" s="37"/>
      <c r="AV860" s="37"/>
      <c r="AW860" s="37"/>
      <c r="AX860" s="37"/>
    </row>
    <row r="861" spans="1:50" ht="20.100000000000001" customHeight="1" x14ac:dyDescent="0.25">
      <c r="A861" s="37"/>
      <c r="B861" s="58"/>
      <c r="C861" s="37"/>
      <c r="D861" s="97"/>
      <c r="E861" s="98"/>
      <c r="F861" s="101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3"/>
      <c r="T861" s="83"/>
      <c r="U861" s="85"/>
      <c r="V861" s="83"/>
      <c r="W861" s="85"/>
      <c r="X861" s="97"/>
      <c r="Y861" s="100"/>
      <c r="Z861" s="100"/>
      <c r="AA861" s="100"/>
      <c r="AB861" s="100"/>
      <c r="AC861" s="100"/>
      <c r="AD861" s="98"/>
      <c r="AE861" s="83"/>
      <c r="AF861" s="84"/>
      <c r="AG861" s="85"/>
      <c r="AH861" s="83"/>
      <c r="AI861" s="84"/>
      <c r="AJ861" s="84"/>
      <c r="AK861" s="85"/>
      <c r="AL861" s="83"/>
      <c r="AM861" s="84"/>
      <c r="AN861" s="85"/>
      <c r="AO861" s="60"/>
      <c r="AP861" s="61"/>
      <c r="AQ861" s="77">
        <f t="shared" si="27"/>
        <v>0</v>
      </c>
      <c r="AR861" s="37"/>
      <c r="AS861" s="78">
        <f t="shared" si="28"/>
        <v>0</v>
      </c>
      <c r="AT861" s="37"/>
      <c r="AU861" s="37"/>
      <c r="AV861" s="37"/>
      <c r="AW861" s="37"/>
      <c r="AX861" s="37"/>
    </row>
    <row r="862" spans="1:50" ht="20.100000000000001" customHeight="1" x14ac:dyDescent="0.25">
      <c r="A862" s="37"/>
      <c r="B862" s="58"/>
      <c r="C862" s="37"/>
      <c r="D862" s="97"/>
      <c r="E862" s="98"/>
      <c r="F862" s="101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3"/>
      <c r="T862" s="83"/>
      <c r="U862" s="85"/>
      <c r="V862" s="83"/>
      <c r="W862" s="85"/>
      <c r="X862" s="97"/>
      <c r="Y862" s="100"/>
      <c r="Z862" s="100"/>
      <c r="AA862" s="100"/>
      <c r="AB862" s="100"/>
      <c r="AC862" s="100"/>
      <c r="AD862" s="98"/>
      <c r="AE862" s="83"/>
      <c r="AF862" s="84"/>
      <c r="AG862" s="85"/>
      <c r="AH862" s="83"/>
      <c r="AI862" s="84"/>
      <c r="AJ862" s="84"/>
      <c r="AK862" s="85"/>
      <c r="AL862" s="83"/>
      <c r="AM862" s="84"/>
      <c r="AN862" s="85"/>
      <c r="AO862" s="60"/>
      <c r="AP862" s="61"/>
      <c r="AQ862" s="77">
        <f t="shared" si="27"/>
        <v>0</v>
      </c>
      <c r="AR862" s="37"/>
      <c r="AS862" s="78">
        <f t="shared" si="28"/>
        <v>0</v>
      </c>
      <c r="AT862" s="37"/>
      <c r="AU862" s="37"/>
      <c r="AV862" s="37"/>
      <c r="AW862" s="37"/>
      <c r="AX862" s="37"/>
    </row>
    <row r="863" spans="1:50" ht="20.100000000000001" customHeight="1" x14ac:dyDescent="0.25">
      <c r="A863" s="37"/>
      <c r="B863" s="58"/>
      <c r="C863" s="37"/>
      <c r="D863" s="97"/>
      <c r="E863" s="98"/>
      <c r="F863" s="101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3"/>
      <c r="T863" s="83"/>
      <c r="U863" s="85"/>
      <c r="V863" s="83"/>
      <c r="W863" s="85"/>
      <c r="X863" s="97"/>
      <c r="Y863" s="100"/>
      <c r="Z863" s="100"/>
      <c r="AA863" s="100"/>
      <c r="AB863" s="100"/>
      <c r="AC863" s="100"/>
      <c r="AD863" s="98"/>
      <c r="AE863" s="83"/>
      <c r="AF863" s="84"/>
      <c r="AG863" s="85"/>
      <c r="AH863" s="83"/>
      <c r="AI863" s="84"/>
      <c r="AJ863" s="84"/>
      <c r="AK863" s="85"/>
      <c r="AL863" s="83"/>
      <c r="AM863" s="84"/>
      <c r="AN863" s="85"/>
      <c r="AO863" s="60"/>
      <c r="AP863" s="61"/>
      <c r="AQ863" s="77">
        <f t="shared" si="27"/>
        <v>0</v>
      </c>
      <c r="AR863" s="37"/>
      <c r="AS863" s="78">
        <f t="shared" si="28"/>
        <v>0</v>
      </c>
      <c r="AT863" s="37"/>
      <c r="AU863" s="37"/>
      <c r="AV863" s="37"/>
      <c r="AW863" s="37"/>
      <c r="AX863" s="37"/>
    </row>
    <row r="864" spans="1:50" ht="20.100000000000001" customHeight="1" x14ac:dyDescent="0.25">
      <c r="A864" s="37"/>
      <c r="B864" s="58"/>
      <c r="C864" s="37"/>
      <c r="D864" s="97"/>
      <c r="E864" s="98"/>
      <c r="F864" s="101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3"/>
      <c r="T864" s="83"/>
      <c r="U864" s="85"/>
      <c r="V864" s="83"/>
      <c r="W864" s="85"/>
      <c r="X864" s="97"/>
      <c r="Y864" s="100"/>
      <c r="Z864" s="100"/>
      <c r="AA864" s="100"/>
      <c r="AB864" s="100"/>
      <c r="AC864" s="100"/>
      <c r="AD864" s="98"/>
      <c r="AE864" s="83"/>
      <c r="AF864" s="84"/>
      <c r="AG864" s="85"/>
      <c r="AH864" s="83"/>
      <c r="AI864" s="84"/>
      <c r="AJ864" s="84"/>
      <c r="AK864" s="85"/>
      <c r="AL864" s="83"/>
      <c r="AM864" s="84"/>
      <c r="AN864" s="85"/>
      <c r="AO864" s="60"/>
      <c r="AP864" s="61"/>
      <c r="AQ864" s="77">
        <f t="shared" si="27"/>
        <v>0</v>
      </c>
      <c r="AR864" s="37"/>
      <c r="AS864" s="78">
        <f t="shared" si="28"/>
        <v>0</v>
      </c>
      <c r="AT864" s="37"/>
      <c r="AU864" s="37"/>
      <c r="AV864" s="37"/>
      <c r="AW864" s="37"/>
      <c r="AX864" s="37"/>
    </row>
    <row r="865" spans="1:50" ht="20.100000000000001" customHeight="1" x14ac:dyDescent="0.25">
      <c r="A865" s="37"/>
      <c r="B865" s="58"/>
      <c r="C865" s="37"/>
      <c r="D865" s="97"/>
      <c r="E865" s="98"/>
      <c r="F865" s="101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3"/>
      <c r="T865" s="83"/>
      <c r="U865" s="85"/>
      <c r="V865" s="83"/>
      <c r="W865" s="85"/>
      <c r="X865" s="97"/>
      <c r="Y865" s="100"/>
      <c r="Z865" s="100"/>
      <c r="AA865" s="100"/>
      <c r="AB865" s="100"/>
      <c r="AC865" s="100"/>
      <c r="AD865" s="98"/>
      <c r="AE865" s="83"/>
      <c r="AF865" s="84"/>
      <c r="AG865" s="85"/>
      <c r="AH865" s="83"/>
      <c r="AI865" s="84"/>
      <c r="AJ865" s="84"/>
      <c r="AK865" s="85"/>
      <c r="AL865" s="83"/>
      <c r="AM865" s="84"/>
      <c r="AN865" s="85"/>
      <c r="AO865" s="60"/>
      <c r="AP865" s="61"/>
      <c r="AQ865" s="77">
        <f t="shared" si="27"/>
        <v>0</v>
      </c>
      <c r="AR865" s="37"/>
      <c r="AS865" s="78">
        <f t="shared" si="28"/>
        <v>0</v>
      </c>
      <c r="AT865" s="37"/>
      <c r="AU865" s="37"/>
      <c r="AV865" s="37"/>
      <c r="AW865" s="37"/>
      <c r="AX865" s="37"/>
    </row>
    <row r="866" spans="1:50" ht="20.100000000000001" customHeight="1" x14ac:dyDescent="0.25">
      <c r="A866" s="37"/>
      <c r="B866" s="58"/>
      <c r="C866" s="37"/>
      <c r="D866" s="97"/>
      <c r="E866" s="98"/>
      <c r="F866" s="101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3"/>
      <c r="T866" s="83"/>
      <c r="U866" s="85"/>
      <c r="V866" s="83"/>
      <c r="W866" s="85"/>
      <c r="X866" s="97"/>
      <c r="Y866" s="100"/>
      <c r="Z866" s="100"/>
      <c r="AA866" s="100"/>
      <c r="AB866" s="100"/>
      <c r="AC866" s="100"/>
      <c r="AD866" s="98"/>
      <c r="AE866" s="83"/>
      <c r="AF866" s="84"/>
      <c r="AG866" s="85"/>
      <c r="AH866" s="83"/>
      <c r="AI866" s="84"/>
      <c r="AJ866" s="84"/>
      <c r="AK866" s="85"/>
      <c r="AL866" s="83"/>
      <c r="AM866" s="84"/>
      <c r="AN866" s="85"/>
      <c r="AO866" s="60"/>
      <c r="AP866" s="61"/>
      <c r="AQ866" s="77">
        <f t="shared" si="27"/>
        <v>0</v>
      </c>
      <c r="AR866" s="37"/>
      <c r="AS866" s="78">
        <f t="shared" si="28"/>
        <v>0</v>
      </c>
      <c r="AT866" s="37"/>
      <c r="AU866" s="37"/>
      <c r="AV866" s="37"/>
      <c r="AW866" s="37"/>
      <c r="AX866" s="37"/>
    </row>
    <row r="867" spans="1:50" ht="20.100000000000001" customHeight="1" x14ac:dyDescent="0.25">
      <c r="A867" s="37"/>
      <c r="B867" s="58"/>
      <c r="C867" s="37"/>
      <c r="D867" s="97"/>
      <c r="E867" s="98"/>
      <c r="F867" s="101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3"/>
      <c r="T867" s="83"/>
      <c r="U867" s="85"/>
      <c r="V867" s="83"/>
      <c r="W867" s="85"/>
      <c r="X867" s="97"/>
      <c r="Y867" s="100"/>
      <c r="Z867" s="100"/>
      <c r="AA867" s="100"/>
      <c r="AB867" s="100"/>
      <c r="AC867" s="100"/>
      <c r="AD867" s="98"/>
      <c r="AE867" s="83"/>
      <c r="AF867" s="84"/>
      <c r="AG867" s="85"/>
      <c r="AH867" s="83"/>
      <c r="AI867" s="84"/>
      <c r="AJ867" s="84"/>
      <c r="AK867" s="85"/>
      <c r="AL867" s="83"/>
      <c r="AM867" s="84"/>
      <c r="AN867" s="85"/>
      <c r="AO867" s="60"/>
      <c r="AP867" s="61"/>
      <c r="AQ867" s="77">
        <f t="shared" si="27"/>
        <v>0</v>
      </c>
      <c r="AR867" s="37"/>
      <c r="AS867" s="78">
        <f t="shared" si="28"/>
        <v>0</v>
      </c>
      <c r="AT867" s="37"/>
      <c r="AU867" s="37"/>
      <c r="AV867" s="37"/>
      <c r="AW867" s="37"/>
      <c r="AX867" s="37"/>
    </row>
    <row r="868" spans="1:50" ht="20.100000000000001" customHeight="1" x14ac:dyDescent="0.25">
      <c r="A868" s="37"/>
      <c r="B868" s="58"/>
      <c r="C868" s="37"/>
      <c r="D868" s="97"/>
      <c r="E868" s="98"/>
      <c r="F868" s="101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3"/>
      <c r="T868" s="83"/>
      <c r="U868" s="85"/>
      <c r="V868" s="83"/>
      <c r="W868" s="85"/>
      <c r="X868" s="97"/>
      <c r="Y868" s="100"/>
      <c r="Z868" s="100"/>
      <c r="AA868" s="100"/>
      <c r="AB868" s="100"/>
      <c r="AC868" s="100"/>
      <c r="AD868" s="98"/>
      <c r="AE868" s="83"/>
      <c r="AF868" s="84"/>
      <c r="AG868" s="85"/>
      <c r="AH868" s="83"/>
      <c r="AI868" s="84"/>
      <c r="AJ868" s="84"/>
      <c r="AK868" s="85"/>
      <c r="AL868" s="83"/>
      <c r="AM868" s="84"/>
      <c r="AN868" s="85"/>
      <c r="AO868" s="60"/>
      <c r="AP868" s="61"/>
      <c r="AQ868" s="77">
        <f t="shared" si="27"/>
        <v>0</v>
      </c>
      <c r="AR868" s="37"/>
      <c r="AS868" s="78">
        <f t="shared" si="28"/>
        <v>0</v>
      </c>
      <c r="AT868" s="37"/>
      <c r="AU868" s="37"/>
      <c r="AV868" s="37"/>
      <c r="AW868" s="37"/>
      <c r="AX868" s="37"/>
    </row>
    <row r="869" spans="1:50" ht="20.100000000000001" customHeight="1" x14ac:dyDescent="0.25">
      <c r="A869" s="37"/>
      <c r="B869" s="58"/>
      <c r="C869" s="37"/>
      <c r="D869" s="97"/>
      <c r="E869" s="98"/>
      <c r="F869" s="101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3"/>
      <c r="T869" s="83"/>
      <c r="U869" s="85"/>
      <c r="V869" s="83"/>
      <c r="W869" s="85"/>
      <c r="X869" s="97"/>
      <c r="Y869" s="100"/>
      <c r="Z869" s="100"/>
      <c r="AA869" s="100"/>
      <c r="AB869" s="100"/>
      <c r="AC869" s="100"/>
      <c r="AD869" s="98"/>
      <c r="AE869" s="83"/>
      <c r="AF869" s="84"/>
      <c r="AG869" s="85"/>
      <c r="AH869" s="83"/>
      <c r="AI869" s="84"/>
      <c r="AJ869" s="84"/>
      <c r="AK869" s="85"/>
      <c r="AL869" s="83"/>
      <c r="AM869" s="84"/>
      <c r="AN869" s="85"/>
      <c r="AO869" s="60"/>
      <c r="AP869" s="61"/>
      <c r="AQ869" s="77">
        <f t="shared" si="27"/>
        <v>0</v>
      </c>
      <c r="AR869" s="37"/>
      <c r="AS869" s="78">
        <f t="shared" si="28"/>
        <v>0</v>
      </c>
      <c r="AT869" s="37"/>
      <c r="AU869" s="37"/>
      <c r="AV869" s="37"/>
      <c r="AW869" s="37"/>
      <c r="AX869" s="37"/>
    </row>
    <row r="870" spans="1:50" ht="20.100000000000001" customHeight="1" x14ac:dyDescent="0.25">
      <c r="A870" s="37"/>
      <c r="B870" s="58"/>
      <c r="C870" s="37"/>
      <c r="D870" s="97"/>
      <c r="E870" s="98"/>
      <c r="F870" s="101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3"/>
      <c r="T870" s="83"/>
      <c r="U870" s="85"/>
      <c r="V870" s="83"/>
      <c r="W870" s="85"/>
      <c r="X870" s="97"/>
      <c r="Y870" s="100"/>
      <c r="Z870" s="100"/>
      <c r="AA870" s="100"/>
      <c r="AB870" s="100"/>
      <c r="AC870" s="100"/>
      <c r="AD870" s="98"/>
      <c r="AE870" s="83"/>
      <c r="AF870" s="84"/>
      <c r="AG870" s="85"/>
      <c r="AH870" s="83"/>
      <c r="AI870" s="84"/>
      <c r="AJ870" s="84"/>
      <c r="AK870" s="85"/>
      <c r="AL870" s="83"/>
      <c r="AM870" s="84"/>
      <c r="AN870" s="85"/>
      <c r="AO870" s="60"/>
      <c r="AP870" s="61"/>
      <c r="AQ870" s="77">
        <f t="shared" si="27"/>
        <v>0</v>
      </c>
      <c r="AR870" s="37"/>
      <c r="AS870" s="78">
        <f t="shared" si="28"/>
        <v>0</v>
      </c>
      <c r="AT870" s="37"/>
      <c r="AU870" s="37"/>
      <c r="AV870" s="37"/>
      <c r="AW870" s="37"/>
      <c r="AX870" s="37"/>
    </row>
    <row r="871" spans="1:50" ht="20.100000000000001" customHeight="1" x14ac:dyDescent="0.25">
      <c r="A871" s="37"/>
      <c r="B871" s="58"/>
      <c r="C871" s="37"/>
      <c r="D871" s="97"/>
      <c r="E871" s="98"/>
      <c r="F871" s="101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3"/>
      <c r="T871" s="83"/>
      <c r="U871" s="85"/>
      <c r="V871" s="83"/>
      <c r="W871" s="85"/>
      <c r="X871" s="97"/>
      <c r="Y871" s="100"/>
      <c r="Z871" s="100"/>
      <c r="AA871" s="100"/>
      <c r="AB871" s="100"/>
      <c r="AC871" s="100"/>
      <c r="AD871" s="98"/>
      <c r="AE871" s="83"/>
      <c r="AF871" s="84"/>
      <c r="AG871" s="85"/>
      <c r="AH871" s="83"/>
      <c r="AI871" s="84"/>
      <c r="AJ871" s="84"/>
      <c r="AK871" s="85"/>
      <c r="AL871" s="83"/>
      <c r="AM871" s="84"/>
      <c r="AN871" s="85"/>
      <c r="AO871" s="60"/>
      <c r="AP871" s="61"/>
      <c r="AQ871" s="77">
        <f t="shared" si="27"/>
        <v>0</v>
      </c>
      <c r="AR871" s="37"/>
      <c r="AS871" s="78">
        <f t="shared" si="28"/>
        <v>0</v>
      </c>
      <c r="AT871" s="37"/>
      <c r="AU871" s="37"/>
      <c r="AV871" s="37"/>
      <c r="AW871" s="37"/>
      <c r="AX871" s="37"/>
    </row>
    <row r="872" spans="1:50" ht="20.100000000000001" customHeight="1" x14ac:dyDescent="0.25">
      <c r="A872" s="37"/>
      <c r="B872" s="58"/>
      <c r="C872" s="37"/>
      <c r="D872" s="97"/>
      <c r="E872" s="98"/>
      <c r="F872" s="101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3"/>
      <c r="T872" s="83"/>
      <c r="U872" s="85"/>
      <c r="V872" s="83"/>
      <c r="W872" s="85"/>
      <c r="X872" s="97"/>
      <c r="Y872" s="100"/>
      <c r="Z872" s="100"/>
      <c r="AA872" s="100"/>
      <c r="AB872" s="100"/>
      <c r="AC872" s="100"/>
      <c r="AD872" s="98"/>
      <c r="AE872" s="83"/>
      <c r="AF872" s="84"/>
      <c r="AG872" s="85"/>
      <c r="AH872" s="83"/>
      <c r="AI872" s="84"/>
      <c r="AJ872" s="84"/>
      <c r="AK872" s="85"/>
      <c r="AL872" s="83"/>
      <c r="AM872" s="84"/>
      <c r="AN872" s="85"/>
      <c r="AO872" s="60"/>
      <c r="AP872" s="61"/>
      <c r="AQ872" s="77">
        <f t="shared" si="27"/>
        <v>0</v>
      </c>
      <c r="AR872" s="37"/>
      <c r="AS872" s="78">
        <f t="shared" si="28"/>
        <v>0</v>
      </c>
      <c r="AT872" s="37"/>
      <c r="AU872" s="37"/>
      <c r="AV872" s="37"/>
      <c r="AW872" s="37"/>
      <c r="AX872" s="37"/>
    </row>
    <row r="873" spans="1:50" ht="20.100000000000001" customHeight="1" x14ac:dyDescent="0.25">
      <c r="A873" s="37"/>
      <c r="B873" s="58"/>
      <c r="C873" s="37"/>
      <c r="D873" s="97"/>
      <c r="E873" s="98"/>
      <c r="F873" s="101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3"/>
      <c r="T873" s="83"/>
      <c r="U873" s="85"/>
      <c r="V873" s="83"/>
      <c r="W873" s="85"/>
      <c r="X873" s="97"/>
      <c r="Y873" s="100"/>
      <c r="Z873" s="100"/>
      <c r="AA873" s="100"/>
      <c r="AB873" s="100"/>
      <c r="AC873" s="100"/>
      <c r="AD873" s="98"/>
      <c r="AE873" s="83"/>
      <c r="AF873" s="84"/>
      <c r="AG873" s="85"/>
      <c r="AH873" s="83"/>
      <c r="AI873" s="84"/>
      <c r="AJ873" s="84"/>
      <c r="AK873" s="85"/>
      <c r="AL873" s="83"/>
      <c r="AM873" s="84"/>
      <c r="AN873" s="85"/>
      <c r="AO873" s="60"/>
      <c r="AP873" s="61"/>
      <c r="AQ873" s="77">
        <f t="shared" si="27"/>
        <v>0</v>
      </c>
      <c r="AR873" s="37"/>
      <c r="AS873" s="78">
        <f t="shared" si="28"/>
        <v>0</v>
      </c>
      <c r="AT873" s="37"/>
      <c r="AU873" s="37"/>
      <c r="AV873" s="37"/>
      <c r="AW873" s="37"/>
      <c r="AX873" s="37"/>
    </row>
    <row r="874" spans="1:50" ht="20.100000000000001" customHeight="1" x14ac:dyDescent="0.25">
      <c r="A874" s="37"/>
      <c r="B874" s="58"/>
      <c r="C874" s="37"/>
      <c r="D874" s="97"/>
      <c r="E874" s="98"/>
      <c r="F874" s="101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3"/>
      <c r="T874" s="83"/>
      <c r="U874" s="85"/>
      <c r="V874" s="83"/>
      <c r="W874" s="85"/>
      <c r="X874" s="97"/>
      <c r="Y874" s="100"/>
      <c r="Z874" s="100"/>
      <c r="AA874" s="100"/>
      <c r="AB874" s="100"/>
      <c r="AC874" s="100"/>
      <c r="AD874" s="98"/>
      <c r="AE874" s="83"/>
      <c r="AF874" s="84"/>
      <c r="AG874" s="85"/>
      <c r="AH874" s="83"/>
      <c r="AI874" s="84"/>
      <c r="AJ874" s="84"/>
      <c r="AK874" s="85"/>
      <c r="AL874" s="83"/>
      <c r="AM874" s="84"/>
      <c r="AN874" s="85"/>
      <c r="AO874" s="60"/>
      <c r="AP874" s="61"/>
      <c r="AQ874" s="77">
        <f t="shared" si="27"/>
        <v>0</v>
      </c>
      <c r="AR874" s="37"/>
      <c r="AS874" s="78">
        <f t="shared" si="28"/>
        <v>0</v>
      </c>
      <c r="AT874" s="37"/>
      <c r="AU874" s="37"/>
      <c r="AV874" s="37"/>
      <c r="AW874" s="37"/>
      <c r="AX874" s="37"/>
    </row>
    <row r="875" spans="1:50" ht="20.100000000000001" customHeight="1" x14ac:dyDescent="0.25">
      <c r="A875" s="37"/>
      <c r="B875" s="58"/>
      <c r="C875" s="37"/>
      <c r="D875" s="97"/>
      <c r="E875" s="98"/>
      <c r="F875" s="101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3"/>
      <c r="T875" s="83"/>
      <c r="U875" s="85"/>
      <c r="V875" s="83"/>
      <c r="W875" s="85"/>
      <c r="X875" s="97"/>
      <c r="Y875" s="100"/>
      <c r="Z875" s="100"/>
      <c r="AA875" s="100"/>
      <c r="AB875" s="100"/>
      <c r="AC875" s="100"/>
      <c r="AD875" s="98"/>
      <c r="AE875" s="83"/>
      <c r="AF875" s="84"/>
      <c r="AG875" s="85"/>
      <c r="AH875" s="83"/>
      <c r="AI875" s="84"/>
      <c r="AJ875" s="84"/>
      <c r="AK875" s="85"/>
      <c r="AL875" s="83"/>
      <c r="AM875" s="84"/>
      <c r="AN875" s="85"/>
      <c r="AO875" s="60"/>
      <c r="AP875" s="61"/>
      <c r="AQ875" s="77">
        <f t="shared" si="27"/>
        <v>0</v>
      </c>
      <c r="AR875" s="37"/>
      <c r="AS875" s="78">
        <f t="shared" si="28"/>
        <v>0</v>
      </c>
      <c r="AT875" s="37"/>
      <c r="AU875" s="37"/>
      <c r="AV875" s="37"/>
      <c r="AW875" s="37"/>
      <c r="AX875" s="37"/>
    </row>
    <row r="876" spans="1:50" ht="20.100000000000001" customHeight="1" x14ac:dyDescent="0.25">
      <c r="A876" s="37"/>
      <c r="B876" s="58"/>
      <c r="C876" s="37"/>
      <c r="D876" s="97"/>
      <c r="E876" s="98"/>
      <c r="F876" s="101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3"/>
      <c r="T876" s="83"/>
      <c r="U876" s="85"/>
      <c r="V876" s="83"/>
      <c r="W876" s="85"/>
      <c r="X876" s="97"/>
      <c r="Y876" s="100"/>
      <c r="Z876" s="100"/>
      <c r="AA876" s="100"/>
      <c r="AB876" s="100"/>
      <c r="AC876" s="100"/>
      <c r="AD876" s="98"/>
      <c r="AE876" s="83"/>
      <c r="AF876" s="84"/>
      <c r="AG876" s="85"/>
      <c r="AH876" s="83"/>
      <c r="AI876" s="84"/>
      <c r="AJ876" s="84"/>
      <c r="AK876" s="85"/>
      <c r="AL876" s="83"/>
      <c r="AM876" s="84"/>
      <c r="AN876" s="85"/>
      <c r="AO876" s="60"/>
      <c r="AP876" s="61"/>
      <c r="AQ876" s="77">
        <f t="shared" si="27"/>
        <v>0</v>
      </c>
      <c r="AR876" s="37"/>
      <c r="AS876" s="78">
        <f t="shared" si="28"/>
        <v>0</v>
      </c>
      <c r="AT876" s="37"/>
      <c r="AU876" s="37"/>
      <c r="AV876" s="37"/>
      <c r="AW876" s="37"/>
      <c r="AX876" s="37"/>
    </row>
    <row r="877" spans="1:50" ht="20.100000000000001" customHeight="1" x14ac:dyDescent="0.25">
      <c r="A877" s="37"/>
      <c r="B877" s="58"/>
      <c r="C877" s="37"/>
      <c r="D877" s="97"/>
      <c r="E877" s="98"/>
      <c r="F877" s="101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3"/>
      <c r="T877" s="83"/>
      <c r="U877" s="85"/>
      <c r="V877" s="83"/>
      <c r="W877" s="85"/>
      <c r="X877" s="97"/>
      <c r="Y877" s="100"/>
      <c r="Z877" s="100"/>
      <c r="AA877" s="100"/>
      <c r="AB877" s="100"/>
      <c r="AC877" s="100"/>
      <c r="AD877" s="98"/>
      <c r="AE877" s="83"/>
      <c r="AF877" s="84"/>
      <c r="AG877" s="85"/>
      <c r="AH877" s="83"/>
      <c r="AI877" s="84"/>
      <c r="AJ877" s="84"/>
      <c r="AK877" s="85"/>
      <c r="AL877" s="83"/>
      <c r="AM877" s="84"/>
      <c r="AN877" s="85"/>
      <c r="AO877" s="60"/>
      <c r="AP877" s="61"/>
      <c r="AQ877" s="77">
        <f t="shared" si="27"/>
        <v>0</v>
      </c>
      <c r="AR877" s="37"/>
      <c r="AS877" s="78">
        <f t="shared" si="28"/>
        <v>0</v>
      </c>
      <c r="AT877" s="37"/>
      <c r="AU877" s="37"/>
      <c r="AV877" s="37"/>
      <c r="AW877" s="37"/>
      <c r="AX877" s="37"/>
    </row>
    <row r="878" spans="1:50" ht="20.100000000000001" customHeight="1" x14ac:dyDescent="0.25">
      <c r="A878" s="37"/>
      <c r="B878" s="58"/>
      <c r="C878" s="37"/>
      <c r="D878" s="97"/>
      <c r="E878" s="98"/>
      <c r="F878" s="101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3"/>
      <c r="T878" s="83"/>
      <c r="U878" s="85"/>
      <c r="V878" s="83"/>
      <c r="W878" s="85"/>
      <c r="X878" s="97"/>
      <c r="Y878" s="100"/>
      <c r="Z878" s="100"/>
      <c r="AA878" s="100"/>
      <c r="AB878" s="100"/>
      <c r="AC878" s="100"/>
      <c r="AD878" s="98"/>
      <c r="AE878" s="83"/>
      <c r="AF878" s="84"/>
      <c r="AG878" s="85"/>
      <c r="AH878" s="83"/>
      <c r="AI878" s="84"/>
      <c r="AJ878" s="84"/>
      <c r="AK878" s="85"/>
      <c r="AL878" s="83"/>
      <c r="AM878" s="84"/>
      <c r="AN878" s="85"/>
      <c r="AO878" s="60"/>
      <c r="AP878" s="61"/>
      <c r="AQ878" s="77">
        <f t="shared" si="27"/>
        <v>0</v>
      </c>
      <c r="AR878" s="37"/>
      <c r="AS878" s="78">
        <f t="shared" si="28"/>
        <v>0</v>
      </c>
      <c r="AT878" s="37"/>
      <c r="AU878" s="37"/>
      <c r="AV878" s="37"/>
      <c r="AW878" s="37"/>
      <c r="AX878" s="37"/>
    </row>
    <row r="879" spans="1:50" ht="20.100000000000001" customHeight="1" x14ac:dyDescent="0.25">
      <c r="A879" s="37"/>
      <c r="B879" s="58"/>
      <c r="C879" s="37"/>
      <c r="D879" s="97"/>
      <c r="E879" s="98"/>
      <c r="F879" s="101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3"/>
      <c r="T879" s="83"/>
      <c r="U879" s="85"/>
      <c r="V879" s="83"/>
      <c r="W879" s="85"/>
      <c r="X879" s="97"/>
      <c r="Y879" s="100"/>
      <c r="Z879" s="100"/>
      <c r="AA879" s="100"/>
      <c r="AB879" s="100"/>
      <c r="AC879" s="100"/>
      <c r="AD879" s="98"/>
      <c r="AE879" s="83"/>
      <c r="AF879" s="84"/>
      <c r="AG879" s="85"/>
      <c r="AH879" s="83"/>
      <c r="AI879" s="84"/>
      <c r="AJ879" s="84"/>
      <c r="AK879" s="85"/>
      <c r="AL879" s="83"/>
      <c r="AM879" s="84"/>
      <c r="AN879" s="85"/>
      <c r="AO879" s="60"/>
      <c r="AP879" s="61"/>
      <c r="AQ879" s="77">
        <f t="shared" si="27"/>
        <v>0</v>
      </c>
      <c r="AR879" s="37"/>
      <c r="AS879" s="78">
        <f t="shared" si="28"/>
        <v>0</v>
      </c>
      <c r="AT879" s="37"/>
      <c r="AU879" s="37"/>
      <c r="AV879" s="37"/>
      <c r="AW879" s="37"/>
      <c r="AX879" s="37"/>
    </row>
    <row r="880" spans="1:50" ht="20.100000000000001" customHeight="1" x14ac:dyDescent="0.25">
      <c r="A880" s="37"/>
      <c r="B880" s="58"/>
      <c r="C880" s="37"/>
      <c r="D880" s="97"/>
      <c r="E880" s="98"/>
      <c r="F880" s="101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3"/>
      <c r="T880" s="83"/>
      <c r="U880" s="85"/>
      <c r="V880" s="83"/>
      <c r="W880" s="85"/>
      <c r="X880" s="97"/>
      <c r="Y880" s="100"/>
      <c r="Z880" s="100"/>
      <c r="AA880" s="100"/>
      <c r="AB880" s="100"/>
      <c r="AC880" s="100"/>
      <c r="AD880" s="98"/>
      <c r="AE880" s="83"/>
      <c r="AF880" s="84"/>
      <c r="AG880" s="85"/>
      <c r="AH880" s="83"/>
      <c r="AI880" s="84"/>
      <c r="AJ880" s="84"/>
      <c r="AK880" s="85"/>
      <c r="AL880" s="83"/>
      <c r="AM880" s="84"/>
      <c r="AN880" s="85"/>
      <c r="AO880" s="60"/>
      <c r="AP880" s="61"/>
      <c r="AQ880" s="77">
        <f t="shared" si="27"/>
        <v>0</v>
      </c>
      <c r="AR880" s="37"/>
      <c r="AS880" s="78">
        <f t="shared" si="28"/>
        <v>0</v>
      </c>
      <c r="AT880" s="37"/>
      <c r="AU880" s="37"/>
      <c r="AV880" s="37"/>
      <c r="AW880" s="37"/>
      <c r="AX880" s="37"/>
    </row>
    <row r="881" spans="1:50" ht="20.100000000000001" customHeight="1" x14ac:dyDescent="0.25">
      <c r="A881" s="37"/>
      <c r="B881" s="58"/>
      <c r="C881" s="37"/>
      <c r="D881" s="97"/>
      <c r="E881" s="98"/>
      <c r="F881" s="101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3"/>
      <c r="T881" s="83"/>
      <c r="U881" s="85"/>
      <c r="V881" s="83"/>
      <c r="W881" s="85"/>
      <c r="X881" s="97"/>
      <c r="Y881" s="100"/>
      <c r="Z881" s="100"/>
      <c r="AA881" s="100"/>
      <c r="AB881" s="100"/>
      <c r="AC881" s="100"/>
      <c r="AD881" s="98"/>
      <c r="AE881" s="83"/>
      <c r="AF881" s="84"/>
      <c r="AG881" s="85"/>
      <c r="AH881" s="83"/>
      <c r="AI881" s="84"/>
      <c r="AJ881" s="84"/>
      <c r="AK881" s="85"/>
      <c r="AL881" s="83"/>
      <c r="AM881" s="84"/>
      <c r="AN881" s="85"/>
      <c r="AO881" s="60"/>
      <c r="AP881" s="61"/>
      <c r="AQ881" s="77">
        <f t="shared" si="27"/>
        <v>0</v>
      </c>
      <c r="AR881" s="37"/>
      <c r="AS881" s="78">
        <f t="shared" si="28"/>
        <v>0</v>
      </c>
      <c r="AT881" s="37"/>
      <c r="AU881" s="37"/>
      <c r="AV881" s="37"/>
      <c r="AW881" s="37"/>
      <c r="AX881" s="37"/>
    </row>
    <row r="882" spans="1:50" ht="20.100000000000001" customHeight="1" x14ac:dyDescent="0.25">
      <c r="A882" s="37"/>
      <c r="B882" s="58"/>
      <c r="C882" s="37"/>
      <c r="D882" s="97"/>
      <c r="E882" s="98"/>
      <c r="F882" s="101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3"/>
      <c r="T882" s="83"/>
      <c r="U882" s="85"/>
      <c r="V882" s="83"/>
      <c r="W882" s="85"/>
      <c r="X882" s="97"/>
      <c r="Y882" s="100"/>
      <c r="Z882" s="100"/>
      <c r="AA882" s="100"/>
      <c r="AB882" s="100"/>
      <c r="AC882" s="100"/>
      <c r="AD882" s="98"/>
      <c r="AE882" s="83"/>
      <c r="AF882" s="84"/>
      <c r="AG882" s="85"/>
      <c r="AH882" s="83"/>
      <c r="AI882" s="84"/>
      <c r="AJ882" s="84"/>
      <c r="AK882" s="85"/>
      <c r="AL882" s="83"/>
      <c r="AM882" s="84"/>
      <c r="AN882" s="85"/>
      <c r="AO882" s="60"/>
      <c r="AP882" s="61"/>
      <c r="AQ882" s="77">
        <f t="shared" si="27"/>
        <v>0</v>
      </c>
      <c r="AR882" s="37"/>
      <c r="AS882" s="78">
        <f t="shared" si="28"/>
        <v>0</v>
      </c>
      <c r="AT882" s="37"/>
      <c r="AU882" s="37"/>
      <c r="AV882" s="37"/>
      <c r="AW882" s="37"/>
      <c r="AX882" s="37"/>
    </row>
    <row r="883" spans="1:50" ht="20.100000000000001" customHeight="1" x14ac:dyDescent="0.25">
      <c r="A883" s="37"/>
      <c r="B883" s="58"/>
      <c r="C883" s="37"/>
      <c r="D883" s="97"/>
      <c r="E883" s="98"/>
      <c r="F883" s="101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3"/>
      <c r="T883" s="83"/>
      <c r="U883" s="85"/>
      <c r="V883" s="83"/>
      <c r="W883" s="85"/>
      <c r="X883" s="97"/>
      <c r="Y883" s="100"/>
      <c r="Z883" s="100"/>
      <c r="AA883" s="100"/>
      <c r="AB883" s="100"/>
      <c r="AC883" s="100"/>
      <c r="AD883" s="98"/>
      <c r="AE883" s="83"/>
      <c r="AF883" s="84"/>
      <c r="AG883" s="85"/>
      <c r="AH883" s="83"/>
      <c r="AI883" s="84"/>
      <c r="AJ883" s="84"/>
      <c r="AK883" s="85"/>
      <c r="AL883" s="83"/>
      <c r="AM883" s="84"/>
      <c r="AN883" s="85"/>
      <c r="AO883" s="60"/>
      <c r="AP883" s="61"/>
      <c r="AQ883" s="77">
        <f t="shared" si="27"/>
        <v>0</v>
      </c>
      <c r="AR883" s="37"/>
      <c r="AS883" s="78">
        <f t="shared" si="28"/>
        <v>0</v>
      </c>
      <c r="AT883" s="37"/>
      <c r="AU883" s="37"/>
      <c r="AV883" s="37"/>
      <c r="AW883" s="37"/>
      <c r="AX883" s="37"/>
    </row>
    <row r="884" spans="1:50" ht="20.100000000000001" customHeight="1" x14ac:dyDescent="0.25">
      <c r="A884" s="37"/>
      <c r="B884" s="58"/>
      <c r="C884" s="37"/>
      <c r="D884" s="97"/>
      <c r="E884" s="98"/>
      <c r="F884" s="101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3"/>
      <c r="T884" s="83"/>
      <c r="U884" s="85"/>
      <c r="V884" s="83"/>
      <c r="W884" s="85"/>
      <c r="X884" s="97"/>
      <c r="Y884" s="100"/>
      <c r="Z884" s="100"/>
      <c r="AA884" s="100"/>
      <c r="AB884" s="100"/>
      <c r="AC884" s="100"/>
      <c r="AD884" s="98"/>
      <c r="AE884" s="83"/>
      <c r="AF884" s="84"/>
      <c r="AG884" s="85"/>
      <c r="AH884" s="83"/>
      <c r="AI884" s="84"/>
      <c r="AJ884" s="84"/>
      <c r="AK884" s="85"/>
      <c r="AL884" s="83"/>
      <c r="AM884" s="84"/>
      <c r="AN884" s="85"/>
      <c r="AO884" s="60"/>
      <c r="AP884" s="61"/>
      <c r="AQ884" s="77">
        <f t="shared" si="27"/>
        <v>0</v>
      </c>
      <c r="AR884" s="37"/>
      <c r="AS884" s="78">
        <f t="shared" si="28"/>
        <v>0</v>
      </c>
      <c r="AT884" s="37"/>
      <c r="AU884" s="37"/>
      <c r="AV884" s="37"/>
      <c r="AW884" s="37"/>
      <c r="AX884" s="37"/>
    </row>
    <row r="885" spans="1:50" ht="20.100000000000001" customHeight="1" x14ac:dyDescent="0.25">
      <c r="A885" s="37"/>
      <c r="B885" s="58"/>
      <c r="C885" s="37"/>
      <c r="D885" s="97"/>
      <c r="E885" s="98"/>
      <c r="F885" s="101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3"/>
      <c r="T885" s="83"/>
      <c r="U885" s="85"/>
      <c r="V885" s="83"/>
      <c r="W885" s="85"/>
      <c r="X885" s="97"/>
      <c r="Y885" s="100"/>
      <c r="Z885" s="100"/>
      <c r="AA885" s="100"/>
      <c r="AB885" s="100"/>
      <c r="AC885" s="100"/>
      <c r="AD885" s="98"/>
      <c r="AE885" s="83"/>
      <c r="AF885" s="84"/>
      <c r="AG885" s="85"/>
      <c r="AH885" s="83"/>
      <c r="AI885" s="84"/>
      <c r="AJ885" s="84"/>
      <c r="AK885" s="85"/>
      <c r="AL885" s="83"/>
      <c r="AM885" s="84"/>
      <c r="AN885" s="85"/>
      <c r="AO885" s="60"/>
      <c r="AP885" s="61"/>
      <c r="AQ885" s="77">
        <f t="shared" si="27"/>
        <v>0</v>
      </c>
      <c r="AR885" s="37"/>
      <c r="AS885" s="78">
        <f t="shared" si="28"/>
        <v>0</v>
      </c>
      <c r="AT885" s="37"/>
      <c r="AU885" s="37"/>
      <c r="AV885" s="37"/>
      <c r="AW885" s="37"/>
      <c r="AX885" s="37"/>
    </row>
    <row r="886" spans="1:50" ht="20.100000000000001" customHeight="1" x14ac:dyDescent="0.25">
      <c r="A886" s="37"/>
      <c r="B886" s="58"/>
      <c r="C886" s="37"/>
      <c r="D886" s="97"/>
      <c r="E886" s="98"/>
      <c r="F886" s="101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3"/>
      <c r="T886" s="83"/>
      <c r="U886" s="85"/>
      <c r="V886" s="83"/>
      <c r="W886" s="85"/>
      <c r="X886" s="97"/>
      <c r="Y886" s="100"/>
      <c r="Z886" s="100"/>
      <c r="AA886" s="100"/>
      <c r="AB886" s="100"/>
      <c r="AC886" s="100"/>
      <c r="AD886" s="98"/>
      <c r="AE886" s="83"/>
      <c r="AF886" s="84"/>
      <c r="AG886" s="85"/>
      <c r="AH886" s="83"/>
      <c r="AI886" s="84"/>
      <c r="AJ886" s="84"/>
      <c r="AK886" s="85"/>
      <c r="AL886" s="83"/>
      <c r="AM886" s="84"/>
      <c r="AN886" s="85"/>
      <c r="AO886" s="60"/>
      <c r="AP886" s="61"/>
      <c r="AQ886" s="77">
        <f t="shared" si="27"/>
        <v>0</v>
      </c>
      <c r="AR886" s="37"/>
      <c r="AS886" s="78">
        <f t="shared" si="28"/>
        <v>0</v>
      </c>
      <c r="AT886" s="37"/>
      <c r="AU886" s="37"/>
      <c r="AV886" s="37"/>
      <c r="AW886" s="37"/>
      <c r="AX886" s="37"/>
    </row>
    <row r="887" spans="1:50" ht="20.100000000000001" customHeight="1" x14ac:dyDescent="0.25">
      <c r="A887" s="37"/>
      <c r="B887" s="58"/>
      <c r="C887" s="37"/>
      <c r="D887" s="97"/>
      <c r="E887" s="98"/>
      <c r="F887" s="101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3"/>
      <c r="T887" s="83"/>
      <c r="U887" s="85"/>
      <c r="V887" s="83"/>
      <c r="W887" s="85"/>
      <c r="X887" s="97"/>
      <c r="Y887" s="100"/>
      <c r="Z887" s="100"/>
      <c r="AA887" s="100"/>
      <c r="AB887" s="100"/>
      <c r="AC887" s="100"/>
      <c r="AD887" s="98"/>
      <c r="AE887" s="83"/>
      <c r="AF887" s="84"/>
      <c r="AG887" s="85"/>
      <c r="AH887" s="83"/>
      <c r="AI887" s="84"/>
      <c r="AJ887" s="84"/>
      <c r="AK887" s="85"/>
      <c r="AL887" s="83"/>
      <c r="AM887" s="84"/>
      <c r="AN887" s="85"/>
      <c r="AO887" s="60"/>
      <c r="AP887" s="61"/>
      <c r="AQ887" s="77">
        <f t="shared" si="27"/>
        <v>0</v>
      </c>
      <c r="AR887" s="37"/>
      <c r="AS887" s="78">
        <f t="shared" si="28"/>
        <v>0</v>
      </c>
      <c r="AT887" s="37"/>
      <c r="AU887" s="37"/>
      <c r="AV887" s="37"/>
      <c r="AW887" s="37"/>
      <c r="AX887" s="37"/>
    </row>
    <row r="888" spans="1:50" ht="20.100000000000001" customHeight="1" x14ac:dyDescent="0.25">
      <c r="A888" s="37"/>
      <c r="B888" s="58"/>
      <c r="C888" s="37"/>
      <c r="D888" s="97"/>
      <c r="E888" s="98"/>
      <c r="F888" s="101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3"/>
      <c r="T888" s="83"/>
      <c r="U888" s="85"/>
      <c r="V888" s="83"/>
      <c r="W888" s="85"/>
      <c r="X888" s="97"/>
      <c r="Y888" s="100"/>
      <c r="Z888" s="100"/>
      <c r="AA888" s="100"/>
      <c r="AB888" s="100"/>
      <c r="AC888" s="100"/>
      <c r="AD888" s="98"/>
      <c r="AE888" s="83"/>
      <c r="AF888" s="84"/>
      <c r="AG888" s="85"/>
      <c r="AH888" s="83"/>
      <c r="AI888" s="84"/>
      <c r="AJ888" s="84"/>
      <c r="AK888" s="85"/>
      <c r="AL888" s="83"/>
      <c r="AM888" s="84"/>
      <c r="AN888" s="85"/>
      <c r="AO888" s="60"/>
      <c r="AP888" s="61"/>
      <c r="AQ888" s="77">
        <f t="shared" si="27"/>
        <v>0</v>
      </c>
      <c r="AR888" s="37"/>
      <c r="AS888" s="78">
        <f t="shared" si="28"/>
        <v>0</v>
      </c>
      <c r="AT888" s="37"/>
      <c r="AU888" s="37"/>
      <c r="AV888" s="37"/>
      <c r="AW888" s="37"/>
      <c r="AX888" s="37"/>
    </row>
    <row r="889" spans="1:50" ht="20.100000000000001" customHeight="1" x14ac:dyDescent="0.25">
      <c r="A889" s="37"/>
      <c r="B889" s="58"/>
      <c r="C889" s="37"/>
      <c r="D889" s="97"/>
      <c r="E889" s="98"/>
      <c r="F889" s="101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3"/>
      <c r="T889" s="83"/>
      <c r="U889" s="85"/>
      <c r="V889" s="83"/>
      <c r="W889" s="85"/>
      <c r="X889" s="97"/>
      <c r="Y889" s="100"/>
      <c r="Z889" s="100"/>
      <c r="AA889" s="100"/>
      <c r="AB889" s="100"/>
      <c r="AC889" s="100"/>
      <c r="AD889" s="98"/>
      <c r="AE889" s="83"/>
      <c r="AF889" s="84"/>
      <c r="AG889" s="85"/>
      <c r="AH889" s="83"/>
      <c r="AI889" s="84"/>
      <c r="AJ889" s="84"/>
      <c r="AK889" s="85"/>
      <c r="AL889" s="83"/>
      <c r="AM889" s="84"/>
      <c r="AN889" s="85"/>
      <c r="AO889" s="60"/>
      <c r="AP889" s="61"/>
      <c r="AQ889" s="77">
        <f t="shared" si="27"/>
        <v>0</v>
      </c>
      <c r="AR889" s="37"/>
      <c r="AS889" s="78">
        <f t="shared" si="28"/>
        <v>0</v>
      </c>
      <c r="AT889" s="37"/>
      <c r="AU889" s="37"/>
      <c r="AV889" s="37"/>
      <c r="AW889" s="37"/>
      <c r="AX889" s="37"/>
    </row>
    <row r="890" spans="1:50" ht="20.100000000000001" customHeight="1" x14ac:dyDescent="0.25">
      <c r="A890" s="37"/>
      <c r="B890" s="58"/>
      <c r="C890" s="37"/>
      <c r="D890" s="97"/>
      <c r="E890" s="98"/>
      <c r="F890" s="101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3"/>
      <c r="T890" s="83"/>
      <c r="U890" s="85"/>
      <c r="V890" s="83"/>
      <c r="W890" s="85"/>
      <c r="X890" s="97"/>
      <c r="Y890" s="100"/>
      <c r="Z890" s="100"/>
      <c r="AA890" s="100"/>
      <c r="AB890" s="100"/>
      <c r="AC890" s="100"/>
      <c r="AD890" s="98"/>
      <c r="AE890" s="83"/>
      <c r="AF890" s="84"/>
      <c r="AG890" s="85"/>
      <c r="AH890" s="83"/>
      <c r="AI890" s="84"/>
      <c r="AJ890" s="84"/>
      <c r="AK890" s="85"/>
      <c r="AL890" s="83"/>
      <c r="AM890" s="84"/>
      <c r="AN890" s="85"/>
      <c r="AO890" s="60"/>
      <c r="AP890" s="61"/>
      <c r="AQ890" s="77">
        <f t="shared" si="27"/>
        <v>0</v>
      </c>
      <c r="AR890" s="37"/>
      <c r="AS890" s="78">
        <f t="shared" si="28"/>
        <v>0</v>
      </c>
      <c r="AT890" s="37"/>
      <c r="AU890" s="37"/>
      <c r="AV890" s="37"/>
      <c r="AW890" s="37"/>
      <c r="AX890" s="37"/>
    </row>
    <row r="891" spans="1:50" ht="20.100000000000001" customHeight="1" x14ac:dyDescent="0.25">
      <c r="A891" s="37"/>
      <c r="B891" s="58"/>
      <c r="C891" s="37"/>
      <c r="D891" s="97"/>
      <c r="E891" s="98"/>
      <c r="F891" s="101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3"/>
      <c r="T891" s="83"/>
      <c r="U891" s="85"/>
      <c r="V891" s="83"/>
      <c r="W891" s="85"/>
      <c r="X891" s="97"/>
      <c r="Y891" s="100"/>
      <c r="Z891" s="100"/>
      <c r="AA891" s="100"/>
      <c r="AB891" s="100"/>
      <c r="AC891" s="100"/>
      <c r="AD891" s="98"/>
      <c r="AE891" s="83"/>
      <c r="AF891" s="84"/>
      <c r="AG891" s="85"/>
      <c r="AH891" s="83"/>
      <c r="AI891" s="84"/>
      <c r="AJ891" s="84"/>
      <c r="AK891" s="85"/>
      <c r="AL891" s="83"/>
      <c r="AM891" s="84"/>
      <c r="AN891" s="85"/>
      <c r="AO891" s="60"/>
      <c r="AP891" s="61"/>
      <c r="AQ891" s="77">
        <f t="shared" si="27"/>
        <v>0</v>
      </c>
      <c r="AR891" s="37"/>
      <c r="AS891" s="78">
        <f t="shared" si="28"/>
        <v>0</v>
      </c>
      <c r="AT891" s="37"/>
      <c r="AU891" s="37"/>
      <c r="AV891" s="37"/>
      <c r="AW891" s="37"/>
      <c r="AX891" s="37"/>
    </row>
    <row r="892" spans="1:50" ht="20.100000000000001" customHeight="1" x14ac:dyDescent="0.25">
      <c r="A892" s="37"/>
      <c r="B892" s="58"/>
      <c r="C892" s="37"/>
      <c r="D892" s="97"/>
      <c r="E892" s="98"/>
      <c r="F892" s="101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3"/>
      <c r="T892" s="83"/>
      <c r="U892" s="85"/>
      <c r="V892" s="83"/>
      <c r="W892" s="85"/>
      <c r="X892" s="97"/>
      <c r="Y892" s="100"/>
      <c r="Z892" s="100"/>
      <c r="AA892" s="100"/>
      <c r="AB892" s="100"/>
      <c r="AC892" s="100"/>
      <c r="AD892" s="98"/>
      <c r="AE892" s="83"/>
      <c r="AF892" s="84"/>
      <c r="AG892" s="85"/>
      <c r="AH892" s="83"/>
      <c r="AI892" s="84"/>
      <c r="AJ892" s="84"/>
      <c r="AK892" s="85"/>
      <c r="AL892" s="83"/>
      <c r="AM892" s="84"/>
      <c r="AN892" s="85"/>
      <c r="AO892" s="60"/>
      <c r="AP892" s="61"/>
      <c r="AQ892" s="77">
        <f t="shared" si="27"/>
        <v>0</v>
      </c>
      <c r="AR892" s="37"/>
      <c r="AS892" s="78">
        <f t="shared" si="28"/>
        <v>0</v>
      </c>
      <c r="AT892" s="37"/>
      <c r="AU892" s="37"/>
      <c r="AV892" s="37"/>
      <c r="AW892" s="37"/>
      <c r="AX892" s="37"/>
    </row>
    <row r="893" spans="1:50" ht="20.100000000000001" customHeight="1" x14ac:dyDescent="0.25">
      <c r="A893" s="37"/>
      <c r="B893" s="58"/>
      <c r="C893" s="37"/>
      <c r="D893" s="97"/>
      <c r="E893" s="98"/>
      <c r="F893" s="101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3"/>
      <c r="T893" s="83"/>
      <c r="U893" s="85"/>
      <c r="V893" s="83"/>
      <c r="W893" s="85"/>
      <c r="X893" s="97"/>
      <c r="Y893" s="100"/>
      <c r="Z893" s="100"/>
      <c r="AA893" s="100"/>
      <c r="AB893" s="100"/>
      <c r="AC893" s="100"/>
      <c r="AD893" s="98"/>
      <c r="AE893" s="83"/>
      <c r="AF893" s="84"/>
      <c r="AG893" s="85"/>
      <c r="AH893" s="83"/>
      <c r="AI893" s="84"/>
      <c r="AJ893" s="84"/>
      <c r="AK893" s="85"/>
      <c r="AL893" s="83"/>
      <c r="AM893" s="84"/>
      <c r="AN893" s="85"/>
      <c r="AO893" s="60"/>
      <c r="AP893" s="61"/>
      <c r="AQ893" s="77">
        <f t="shared" si="27"/>
        <v>0</v>
      </c>
      <c r="AR893" s="37"/>
      <c r="AS893" s="78">
        <f t="shared" si="28"/>
        <v>0</v>
      </c>
      <c r="AT893" s="37"/>
      <c r="AU893" s="37"/>
      <c r="AV893" s="37"/>
      <c r="AW893" s="37"/>
      <c r="AX893" s="37"/>
    </row>
    <row r="894" spans="1:50" ht="20.100000000000001" customHeight="1" x14ac:dyDescent="0.25">
      <c r="A894" s="37"/>
      <c r="B894" s="58"/>
      <c r="C894" s="37"/>
      <c r="D894" s="97"/>
      <c r="E894" s="98"/>
      <c r="F894" s="101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3"/>
      <c r="T894" s="83"/>
      <c r="U894" s="85"/>
      <c r="V894" s="83"/>
      <c r="W894" s="85"/>
      <c r="X894" s="97"/>
      <c r="Y894" s="100"/>
      <c r="Z894" s="100"/>
      <c r="AA894" s="100"/>
      <c r="AB894" s="100"/>
      <c r="AC894" s="100"/>
      <c r="AD894" s="98"/>
      <c r="AE894" s="83"/>
      <c r="AF894" s="84"/>
      <c r="AG894" s="85"/>
      <c r="AH894" s="83"/>
      <c r="AI894" s="84"/>
      <c r="AJ894" s="84"/>
      <c r="AK894" s="85"/>
      <c r="AL894" s="83"/>
      <c r="AM894" s="84"/>
      <c r="AN894" s="85"/>
      <c r="AO894" s="60"/>
      <c r="AP894" s="61"/>
      <c r="AQ894" s="77">
        <f t="shared" si="27"/>
        <v>0</v>
      </c>
      <c r="AR894" s="37"/>
      <c r="AS894" s="78">
        <f t="shared" si="28"/>
        <v>0</v>
      </c>
      <c r="AT894" s="37"/>
      <c r="AU894" s="37"/>
      <c r="AV894" s="37"/>
      <c r="AW894" s="37"/>
      <c r="AX894" s="37"/>
    </row>
    <row r="895" spans="1:50" ht="20.100000000000001" customHeight="1" x14ac:dyDescent="0.25">
      <c r="A895" s="37"/>
      <c r="B895" s="58"/>
      <c r="C895" s="37"/>
      <c r="D895" s="97"/>
      <c r="E895" s="98"/>
      <c r="F895" s="101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3"/>
      <c r="T895" s="83"/>
      <c r="U895" s="85"/>
      <c r="V895" s="83"/>
      <c r="W895" s="85"/>
      <c r="X895" s="97"/>
      <c r="Y895" s="100"/>
      <c r="Z895" s="100"/>
      <c r="AA895" s="100"/>
      <c r="AB895" s="100"/>
      <c r="AC895" s="100"/>
      <c r="AD895" s="98"/>
      <c r="AE895" s="83"/>
      <c r="AF895" s="84"/>
      <c r="AG895" s="85"/>
      <c r="AH895" s="83"/>
      <c r="AI895" s="84"/>
      <c r="AJ895" s="84"/>
      <c r="AK895" s="85"/>
      <c r="AL895" s="83"/>
      <c r="AM895" s="84"/>
      <c r="AN895" s="85"/>
      <c r="AO895" s="60"/>
      <c r="AP895" s="61"/>
      <c r="AQ895" s="77">
        <f t="shared" si="27"/>
        <v>0</v>
      </c>
      <c r="AR895" s="37"/>
      <c r="AS895" s="78">
        <f t="shared" si="28"/>
        <v>0</v>
      </c>
      <c r="AT895" s="37"/>
      <c r="AU895" s="37"/>
      <c r="AV895" s="37"/>
      <c r="AW895" s="37"/>
      <c r="AX895" s="37"/>
    </row>
    <row r="896" spans="1:50" ht="20.100000000000001" customHeight="1" x14ac:dyDescent="0.25">
      <c r="A896" s="37"/>
      <c r="B896" s="58"/>
      <c r="C896" s="37"/>
      <c r="D896" s="97"/>
      <c r="E896" s="98"/>
      <c r="F896" s="101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3"/>
      <c r="T896" s="83"/>
      <c r="U896" s="85"/>
      <c r="V896" s="83"/>
      <c r="W896" s="85"/>
      <c r="X896" s="97"/>
      <c r="Y896" s="100"/>
      <c r="Z896" s="100"/>
      <c r="AA896" s="100"/>
      <c r="AB896" s="100"/>
      <c r="AC896" s="100"/>
      <c r="AD896" s="98"/>
      <c r="AE896" s="83"/>
      <c r="AF896" s="84"/>
      <c r="AG896" s="85"/>
      <c r="AH896" s="83"/>
      <c r="AI896" s="84"/>
      <c r="AJ896" s="84"/>
      <c r="AK896" s="85"/>
      <c r="AL896" s="83"/>
      <c r="AM896" s="84"/>
      <c r="AN896" s="85"/>
      <c r="AO896" s="60"/>
      <c r="AP896" s="61"/>
      <c r="AQ896" s="77">
        <f t="shared" si="27"/>
        <v>0</v>
      </c>
      <c r="AR896" s="37"/>
      <c r="AS896" s="78">
        <f t="shared" si="28"/>
        <v>0</v>
      </c>
      <c r="AT896" s="37"/>
      <c r="AU896" s="37"/>
      <c r="AV896" s="37"/>
      <c r="AW896" s="37"/>
      <c r="AX896" s="37"/>
    </row>
    <row r="897" spans="1:50" ht="20.100000000000001" customHeight="1" x14ac:dyDescent="0.25">
      <c r="A897" s="37"/>
      <c r="B897" s="58"/>
      <c r="C897" s="37"/>
      <c r="D897" s="97"/>
      <c r="E897" s="98"/>
      <c r="F897" s="101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3"/>
      <c r="T897" s="83"/>
      <c r="U897" s="85"/>
      <c r="V897" s="83"/>
      <c r="W897" s="85"/>
      <c r="X897" s="97"/>
      <c r="Y897" s="100"/>
      <c r="Z897" s="100"/>
      <c r="AA897" s="100"/>
      <c r="AB897" s="100"/>
      <c r="AC897" s="100"/>
      <c r="AD897" s="98"/>
      <c r="AE897" s="83"/>
      <c r="AF897" s="84"/>
      <c r="AG897" s="85"/>
      <c r="AH897" s="83"/>
      <c r="AI897" s="84"/>
      <c r="AJ897" s="84"/>
      <c r="AK897" s="85"/>
      <c r="AL897" s="83"/>
      <c r="AM897" s="84"/>
      <c r="AN897" s="85"/>
      <c r="AO897" s="60"/>
      <c r="AP897" s="61"/>
      <c r="AQ897" s="77">
        <f t="shared" si="27"/>
        <v>0</v>
      </c>
      <c r="AR897" s="37"/>
      <c r="AS897" s="78">
        <f t="shared" si="28"/>
        <v>0</v>
      </c>
      <c r="AT897" s="37"/>
      <c r="AU897" s="37"/>
      <c r="AV897" s="37"/>
      <c r="AW897" s="37"/>
      <c r="AX897" s="37"/>
    </row>
    <row r="898" spans="1:50" ht="20.100000000000001" customHeight="1" x14ac:dyDescent="0.25">
      <c r="A898" s="37"/>
      <c r="B898" s="58"/>
      <c r="C898" s="37"/>
      <c r="D898" s="97"/>
      <c r="E898" s="98"/>
      <c r="F898" s="101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3"/>
      <c r="T898" s="83"/>
      <c r="U898" s="85"/>
      <c r="V898" s="83"/>
      <c r="W898" s="85"/>
      <c r="X898" s="97"/>
      <c r="Y898" s="100"/>
      <c r="Z898" s="100"/>
      <c r="AA898" s="100"/>
      <c r="AB898" s="100"/>
      <c r="AC898" s="100"/>
      <c r="AD898" s="98"/>
      <c r="AE898" s="83"/>
      <c r="AF898" s="84"/>
      <c r="AG898" s="85"/>
      <c r="AH898" s="83"/>
      <c r="AI898" s="84"/>
      <c r="AJ898" s="84"/>
      <c r="AK898" s="85"/>
      <c r="AL898" s="83"/>
      <c r="AM898" s="84"/>
      <c r="AN898" s="85"/>
      <c r="AO898" s="60"/>
      <c r="AP898" s="61"/>
      <c r="AQ898" s="77">
        <f t="shared" si="27"/>
        <v>0</v>
      </c>
      <c r="AR898" s="37"/>
      <c r="AS898" s="78">
        <f t="shared" si="28"/>
        <v>0</v>
      </c>
      <c r="AT898" s="37"/>
      <c r="AU898" s="37"/>
      <c r="AV898" s="37"/>
      <c r="AW898" s="37"/>
      <c r="AX898" s="37"/>
    </row>
    <row r="899" spans="1:50" ht="20.100000000000001" customHeight="1" x14ac:dyDescent="0.25">
      <c r="A899" s="37"/>
      <c r="B899" s="58"/>
      <c r="C899" s="37"/>
      <c r="D899" s="97"/>
      <c r="E899" s="98"/>
      <c r="F899" s="101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3"/>
      <c r="T899" s="83"/>
      <c r="U899" s="85"/>
      <c r="V899" s="83"/>
      <c r="W899" s="85"/>
      <c r="X899" s="97"/>
      <c r="Y899" s="100"/>
      <c r="Z899" s="100"/>
      <c r="AA899" s="100"/>
      <c r="AB899" s="100"/>
      <c r="AC899" s="100"/>
      <c r="AD899" s="98"/>
      <c r="AE899" s="83"/>
      <c r="AF899" s="84"/>
      <c r="AG899" s="85"/>
      <c r="AH899" s="83"/>
      <c r="AI899" s="84"/>
      <c r="AJ899" s="84"/>
      <c r="AK899" s="85"/>
      <c r="AL899" s="83"/>
      <c r="AM899" s="84"/>
      <c r="AN899" s="85"/>
      <c r="AO899" s="60"/>
      <c r="AP899" s="61"/>
      <c r="AQ899" s="77">
        <f t="shared" si="27"/>
        <v>0</v>
      </c>
      <c r="AR899" s="37"/>
      <c r="AS899" s="78">
        <f t="shared" si="28"/>
        <v>0</v>
      </c>
      <c r="AT899" s="37"/>
      <c r="AU899" s="37"/>
      <c r="AV899" s="37"/>
      <c r="AW899" s="37"/>
      <c r="AX899" s="37"/>
    </row>
    <row r="900" spans="1:50" ht="20.100000000000001" customHeight="1" x14ac:dyDescent="0.25">
      <c r="A900" s="37"/>
      <c r="B900" s="58"/>
      <c r="C900" s="37"/>
      <c r="D900" s="97"/>
      <c r="E900" s="98"/>
      <c r="F900" s="101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3"/>
      <c r="T900" s="83"/>
      <c r="U900" s="85"/>
      <c r="V900" s="83"/>
      <c r="W900" s="85"/>
      <c r="X900" s="97"/>
      <c r="Y900" s="100"/>
      <c r="Z900" s="100"/>
      <c r="AA900" s="100"/>
      <c r="AB900" s="100"/>
      <c r="AC900" s="100"/>
      <c r="AD900" s="98"/>
      <c r="AE900" s="83"/>
      <c r="AF900" s="84"/>
      <c r="AG900" s="85"/>
      <c r="AH900" s="83"/>
      <c r="AI900" s="84"/>
      <c r="AJ900" s="84"/>
      <c r="AK900" s="85"/>
      <c r="AL900" s="83"/>
      <c r="AM900" s="84"/>
      <c r="AN900" s="85"/>
      <c r="AO900" s="60"/>
      <c r="AP900" s="61"/>
      <c r="AQ900" s="77">
        <f t="shared" si="27"/>
        <v>0</v>
      </c>
      <c r="AR900" s="37"/>
      <c r="AS900" s="78">
        <f t="shared" si="28"/>
        <v>0</v>
      </c>
      <c r="AT900" s="37"/>
      <c r="AU900" s="37"/>
      <c r="AV900" s="37"/>
      <c r="AW900" s="37"/>
      <c r="AX900" s="37"/>
    </row>
    <row r="901" spans="1:50" ht="20.100000000000001" customHeight="1" x14ac:dyDescent="0.25">
      <c r="A901" s="37"/>
      <c r="B901" s="58"/>
      <c r="C901" s="37"/>
      <c r="D901" s="97"/>
      <c r="E901" s="98"/>
      <c r="F901" s="101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3"/>
      <c r="T901" s="83"/>
      <c r="U901" s="85"/>
      <c r="V901" s="83"/>
      <c r="W901" s="85"/>
      <c r="X901" s="97"/>
      <c r="Y901" s="100"/>
      <c r="Z901" s="100"/>
      <c r="AA901" s="100"/>
      <c r="AB901" s="100"/>
      <c r="AC901" s="100"/>
      <c r="AD901" s="98"/>
      <c r="AE901" s="83"/>
      <c r="AF901" s="84"/>
      <c r="AG901" s="85"/>
      <c r="AH901" s="83"/>
      <c r="AI901" s="84"/>
      <c r="AJ901" s="84"/>
      <c r="AK901" s="85"/>
      <c r="AL901" s="83"/>
      <c r="AM901" s="84"/>
      <c r="AN901" s="85"/>
      <c r="AO901" s="60"/>
      <c r="AP901" s="61"/>
      <c r="AQ901" s="77">
        <f t="shared" si="27"/>
        <v>0</v>
      </c>
      <c r="AR901" s="37"/>
      <c r="AS901" s="78">
        <f t="shared" si="28"/>
        <v>0</v>
      </c>
      <c r="AT901" s="37"/>
      <c r="AU901" s="37"/>
      <c r="AV901" s="37"/>
      <c r="AW901" s="37"/>
      <c r="AX901" s="37"/>
    </row>
    <row r="902" spans="1:50" ht="20.100000000000001" customHeight="1" x14ac:dyDescent="0.25">
      <c r="A902" s="37"/>
      <c r="B902" s="58"/>
      <c r="C902" s="37"/>
      <c r="D902" s="97"/>
      <c r="E902" s="98"/>
      <c r="F902" s="101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3"/>
      <c r="T902" s="83"/>
      <c r="U902" s="85"/>
      <c r="V902" s="83"/>
      <c r="W902" s="85"/>
      <c r="X902" s="97"/>
      <c r="Y902" s="100"/>
      <c r="Z902" s="100"/>
      <c r="AA902" s="100"/>
      <c r="AB902" s="100"/>
      <c r="AC902" s="100"/>
      <c r="AD902" s="98"/>
      <c r="AE902" s="83"/>
      <c r="AF902" s="84"/>
      <c r="AG902" s="85"/>
      <c r="AH902" s="83"/>
      <c r="AI902" s="84"/>
      <c r="AJ902" s="84"/>
      <c r="AK902" s="85"/>
      <c r="AL902" s="83"/>
      <c r="AM902" s="84"/>
      <c r="AN902" s="85"/>
      <c r="AO902" s="60"/>
      <c r="AP902" s="61"/>
      <c r="AQ902" s="77">
        <f t="shared" ref="AQ902:AQ965" si="29">AP902-B902</f>
        <v>0</v>
      </c>
      <c r="AR902" s="37"/>
      <c r="AS902" s="78">
        <f t="shared" si="28"/>
        <v>0</v>
      </c>
      <c r="AT902" s="37"/>
      <c r="AU902" s="37"/>
      <c r="AV902" s="37"/>
      <c r="AW902" s="37"/>
      <c r="AX902" s="37"/>
    </row>
    <row r="903" spans="1:50" ht="20.100000000000001" customHeight="1" x14ac:dyDescent="0.25">
      <c r="A903" s="37"/>
      <c r="B903" s="58"/>
      <c r="C903" s="37"/>
      <c r="D903" s="97"/>
      <c r="E903" s="98"/>
      <c r="F903" s="101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3"/>
      <c r="T903" s="83"/>
      <c r="U903" s="85"/>
      <c r="V903" s="83"/>
      <c r="W903" s="85"/>
      <c r="X903" s="97"/>
      <c r="Y903" s="100"/>
      <c r="Z903" s="100"/>
      <c r="AA903" s="100"/>
      <c r="AB903" s="100"/>
      <c r="AC903" s="100"/>
      <c r="AD903" s="98"/>
      <c r="AE903" s="83"/>
      <c r="AF903" s="84"/>
      <c r="AG903" s="85"/>
      <c r="AH903" s="83"/>
      <c r="AI903" s="84"/>
      <c r="AJ903" s="84"/>
      <c r="AK903" s="85"/>
      <c r="AL903" s="83"/>
      <c r="AM903" s="84"/>
      <c r="AN903" s="85"/>
      <c r="AO903" s="60"/>
      <c r="AP903" s="61"/>
      <c r="AQ903" s="77">
        <f t="shared" si="29"/>
        <v>0</v>
      </c>
      <c r="AR903" s="37"/>
      <c r="AS903" s="78">
        <f t="shared" ref="AS903:AS966" si="30">AP903-AR903</f>
        <v>0</v>
      </c>
      <c r="AT903" s="37"/>
      <c r="AU903" s="37"/>
      <c r="AV903" s="37"/>
      <c r="AW903" s="37"/>
      <c r="AX903" s="37"/>
    </row>
    <row r="904" spans="1:50" ht="20.100000000000001" customHeight="1" x14ac:dyDescent="0.25">
      <c r="A904" s="37"/>
      <c r="B904" s="58"/>
      <c r="C904" s="37"/>
      <c r="D904" s="97"/>
      <c r="E904" s="98"/>
      <c r="F904" s="101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3"/>
      <c r="T904" s="83"/>
      <c r="U904" s="85"/>
      <c r="V904" s="83"/>
      <c r="W904" s="85"/>
      <c r="X904" s="97"/>
      <c r="Y904" s="100"/>
      <c r="Z904" s="100"/>
      <c r="AA904" s="100"/>
      <c r="AB904" s="100"/>
      <c r="AC904" s="100"/>
      <c r="AD904" s="98"/>
      <c r="AE904" s="83"/>
      <c r="AF904" s="84"/>
      <c r="AG904" s="85"/>
      <c r="AH904" s="83"/>
      <c r="AI904" s="84"/>
      <c r="AJ904" s="84"/>
      <c r="AK904" s="85"/>
      <c r="AL904" s="83"/>
      <c r="AM904" s="84"/>
      <c r="AN904" s="85"/>
      <c r="AO904" s="60"/>
      <c r="AP904" s="61"/>
      <c r="AQ904" s="77">
        <f t="shared" si="29"/>
        <v>0</v>
      </c>
      <c r="AR904" s="37"/>
      <c r="AS904" s="78">
        <f t="shared" si="30"/>
        <v>0</v>
      </c>
      <c r="AT904" s="37"/>
      <c r="AU904" s="37"/>
      <c r="AV904" s="37"/>
      <c r="AW904" s="37"/>
      <c r="AX904" s="37"/>
    </row>
    <row r="905" spans="1:50" ht="20.100000000000001" customHeight="1" x14ac:dyDescent="0.25">
      <c r="A905" s="37"/>
      <c r="B905" s="58"/>
      <c r="C905" s="37"/>
      <c r="D905" s="97"/>
      <c r="E905" s="98"/>
      <c r="F905" s="101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3"/>
      <c r="T905" s="83"/>
      <c r="U905" s="85"/>
      <c r="V905" s="83"/>
      <c r="W905" s="85"/>
      <c r="X905" s="97"/>
      <c r="Y905" s="100"/>
      <c r="Z905" s="100"/>
      <c r="AA905" s="100"/>
      <c r="AB905" s="100"/>
      <c r="AC905" s="100"/>
      <c r="AD905" s="98"/>
      <c r="AE905" s="83"/>
      <c r="AF905" s="84"/>
      <c r="AG905" s="85"/>
      <c r="AH905" s="83"/>
      <c r="AI905" s="84"/>
      <c r="AJ905" s="84"/>
      <c r="AK905" s="85"/>
      <c r="AL905" s="83"/>
      <c r="AM905" s="84"/>
      <c r="AN905" s="85"/>
      <c r="AO905" s="60"/>
      <c r="AP905" s="61"/>
      <c r="AQ905" s="77">
        <f t="shared" si="29"/>
        <v>0</v>
      </c>
      <c r="AR905" s="37"/>
      <c r="AS905" s="78">
        <f t="shared" si="30"/>
        <v>0</v>
      </c>
      <c r="AT905" s="37"/>
      <c r="AU905" s="37"/>
      <c r="AV905" s="37"/>
      <c r="AW905" s="37"/>
      <c r="AX905" s="37"/>
    </row>
    <row r="906" spans="1:50" ht="20.100000000000001" customHeight="1" x14ac:dyDescent="0.25">
      <c r="A906" s="37"/>
      <c r="B906" s="58"/>
      <c r="C906" s="37"/>
      <c r="D906" s="97"/>
      <c r="E906" s="98"/>
      <c r="F906" s="101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3"/>
      <c r="T906" s="83"/>
      <c r="U906" s="85"/>
      <c r="V906" s="83"/>
      <c r="W906" s="85"/>
      <c r="X906" s="97"/>
      <c r="Y906" s="100"/>
      <c r="Z906" s="100"/>
      <c r="AA906" s="100"/>
      <c r="AB906" s="100"/>
      <c r="AC906" s="100"/>
      <c r="AD906" s="98"/>
      <c r="AE906" s="83"/>
      <c r="AF906" s="84"/>
      <c r="AG906" s="85"/>
      <c r="AH906" s="83"/>
      <c r="AI906" s="84"/>
      <c r="AJ906" s="84"/>
      <c r="AK906" s="85"/>
      <c r="AL906" s="83"/>
      <c r="AM906" s="84"/>
      <c r="AN906" s="85"/>
      <c r="AO906" s="60"/>
      <c r="AP906" s="61"/>
      <c r="AQ906" s="77">
        <f t="shared" si="29"/>
        <v>0</v>
      </c>
      <c r="AR906" s="37"/>
      <c r="AS906" s="78">
        <f t="shared" si="30"/>
        <v>0</v>
      </c>
      <c r="AT906" s="37"/>
      <c r="AU906" s="37"/>
      <c r="AV906" s="37"/>
      <c r="AW906" s="37"/>
      <c r="AX906" s="37"/>
    </row>
    <row r="907" spans="1:50" ht="20.100000000000001" customHeight="1" x14ac:dyDescent="0.25">
      <c r="A907" s="37"/>
      <c r="B907" s="58"/>
      <c r="C907" s="37"/>
      <c r="D907" s="97"/>
      <c r="E907" s="98"/>
      <c r="F907" s="101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3"/>
      <c r="T907" s="83"/>
      <c r="U907" s="85"/>
      <c r="V907" s="83"/>
      <c r="W907" s="85"/>
      <c r="X907" s="97"/>
      <c r="Y907" s="100"/>
      <c r="Z907" s="100"/>
      <c r="AA907" s="100"/>
      <c r="AB907" s="100"/>
      <c r="AC907" s="100"/>
      <c r="AD907" s="98"/>
      <c r="AE907" s="83"/>
      <c r="AF907" s="84"/>
      <c r="AG907" s="85"/>
      <c r="AH907" s="83"/>
      <c r="AI907" s="84"/>
      <c r="AJ907" s="84"/>
      <c r="AK907" s="85"/>
      <c r="AL907" s="83"/>
      <c r="AM907" s="84"/>
      <c r="AN907" s="85"/>
      <c r="AO907" s="60"/>
      <c r="AP907" s="61"/>
      <c r="AQ907" s="77">
        <f t="shared" si="29"/>
        <v>0</v>
      </c>
      <c r="AR907" s="37"/>
      <c r="AS907" s="78">
        <f t="shared" si="30"/>
        <v>0</v>
      </c>
      <c r="AT907" s="37"/>
      <c r="AU907" s="37"/>
      <c r="AV907" s="37"/>
      <c r="AW907" s="37"/>
      <c r="AX907" s="37"/>
    </row>
    <row r="908" spans="1:50" ht="20.100000000000001" customHeight="1" x14ac:dyDescent="0.25">
      <c r="A908" s="37"/>
      <c r="B908" s="58"/>
      <c r="C908" s="37"/>
      <c r="D908" s="97"/>
      <c r="E908" s="98"/>
      <c r="F908" s="101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3"/>
      <c r="T908" s="83"/>
      <c r="U908" s="85"/>
      <c r="V908" s="83"/>
      <c r="W908" s="85"/>
      <c r="X908" s="97"/>
      <c r="Y908" s="100"/>
      <c r="Z908" s="100"/>
      <c r="AA908" s="100"/>
      <c r="AB908" s="100"/>
      <c r="AC908" s="100"/>
      <c r="AD908" s="98"/>
      <c r="AE908" s="83"/>
      <c r="AF908" s="84"/>
      <c r="AG908" s="85"/>
      <c r="AH908" s="83"/>
      <c r="AI908" s="84"/>
      <c r="AJ908" s="84"/>
      <c r="AK908" s="85"/>
      <c r="AL908" s="83"/>
      <c r="AM908" s="84"/>
      <c r="AN908" s="85"/>
      <c r="AO908" s="60"/>
      <c r="AP908" s="61"/>
      <c r="AQ908" s="77">
        <f t="shared" si="29"/>
        <v>0</v>
      </c>
      <c r="AR908" s="37"/>
      <c r="AS908" s="78">
        <f t="shared" si="30"/>
        <v>0</v>
      </c>
      <c r="AT908" s="37"/>
      <c r="AU908" s="37"/>
      <c r="AV908" s="37"/>
      <c r="AW908" s="37"/>
      <c r="AX908" s="37"/>
    </row>
    <row r="909" spans="1:50" ht="20.100000000000001" customHeight="1" x14ac:dyDescent="0.25">
      <c r="A909" s="37"/>
      <c r="B909" s="58"/>
      <c r="C909" s="37"/>
      <c r="D909" s="97"/>
      <c r="E909" s="98"/>
      <c r="F909" s="101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3"/>
      <c r="T909" s="83"/>
      <c r="U909" s="85"/>
      <c r="V909" s="83"/>
      <c r="W909" s="85"/>
      <c r="X909" s="97"/>
      <c r="Y909" s="100"/>
      <c r="Z909" s="100"/>
      <c r="AA909" s="100"/>
      <c r="AB909" s="100"/>
      <c r="AC909" s="100"/>
      <c r="AD909" s="98"/>
      <c r="AE909" s="83"/>
      <c r="AF909" s="84"/>
      <c r="AG909" s="85"/>
      <c r="AH909" s="83"/>
      <c r="AI909" s="84"/>
      <c r="AJ909" s="84"/>
      <c r="AK909" s="85"/>
      <c r="AL909" s="83"/>
      <c r="AM909" s="84"/>
      <c r="AN909" s="85"/>
      <c r="AO909" s="60"/>
      <c r="AP909" s="61"/>
      <c r="AQ909" s="77">
        <f t="shared" si="29"/>
        <v>0</v>
      </c>
      <c r="AR909" s="37"/>
      <c r="AS909" s="78">
        <f t="shared" si="30"/>
        <v>0</v>
      </c>
      <c r="AT909" s="37"/>
      <c r="AU909" s="37"/>
      <c r="AV909" s="37"/>
      <c r="AW909" s="37"/>
      <c r="AX909" s="37"/>
    </row>
    <row r="910" spans="1:50" ht="20.100000000000001" customHeight="1" x14ac:dyDescent="0.25">
      <c r="A910" s="37"/>
      <c r="B910" s="58"/>
      <c r="C910" s="37"/>
      <c r="D910" s="97"/>
      <c r="E910" s="98"/>
      <c r="F910" s="101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3"/>
      <c r="T910" s="83"/>
      <c r="U910" s="85"/>
      <c r="V910" s="83"/>
      <c r="W910" s="85"/>
      <c r="X910" s="97"/>
      <c r="Y910" s="100"/>
      <c r="Z910" s="100"/>
      <c r="AA910" s="100"/>
      <c r="AB910" s="100"/>
      <c r="AC910" s="100"/>
      <c r="AD910" s="98"/>
      <c r="AE910" s="83"/>
      <c r="AF910" s="84"/>
      <c r="AG910" s="85"/>
      <c r="AH910" s="83"/>
      <c r="AI910" s="84"/>
      <c r="AJ910" s="84"/>
      <c r="AK910" s="85"/>
      <c r="AL910" s="83"/>
      <c r="AM910" s="84"/>
      <c r="AN910" s="85"/>
      <c r="AO910" s="60"/>
      <c r="AP910" s="61"/>
      <c r="AQ910" s="77">
        <f t="shared" si="29"/>
        <v>0</v>
      </c>
      <c r="AR910" s="37"/>
      <c r="AS910" s="78">
        <f t="shared" si="30"/>
        <v>0</v>
      </c>
      <c r="AT910" s="37"/>
      <c r="AU910" s="37"/>
      <c r="AV910" s="37"/>
      <c r="AW910" s="37"/>
      <c r="AX910" s="37"/>
    </row>
    <row r="911" spans="1:50" ht="20.100000000000001" customHeight="1" x14ac:dyDescent="0.25">
      <c r="A911" s="37"/>
      <c r="B911" s="58"/>
      <c r="C911" s="37"/>
      <c r="D911" s="97"/>
      <c r="E911" s="98"/>
      <c r="F911" s="101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3"/>
      <c r="T911" s="83"/>
      <c r="U911" s="85"/>
      <c r="V911" s="83"/>
      <c r="W911" s="85"/>
      <c r="X911" s="97"/>
      <c r="Y911" s="100"/>
      <c r="Z911" s="100"/>
      <c r="AA911" s="100"/>
      <c r="AB911" s="100"/>
      <c r="AC911" s="100"/>
      <c r="AD911" s="98"/>
      <c r="AE911" s="83"/>
      <c r="AF911" s="84"/>
      <c r="AG911" s="85"/>
      <c r="AH911" s="83"/>
      <c r="AI911" s="84"/>
      <c r="AJ911" s="84"/>
      <c r="AK911" s="85"/>
      <c r="AL911" s="83"/>
      <c r="AM911" s="84"/>
      <c r="AN911" s="85"/>
      <c r="AO911" s="60"/>
      <c r="AP911" s="61"/>
      <c r="AQ911" s="77">
        <f t="shared" si="29"/>
        <v>0</v>
      </c>
      <c r="AR911" s="37"/>
      <c r="AS911" s="78">
        <f t="shared" si="30"/>
        <v>0</v>
      </c>
      <c r="AT911" s="37"/>
      <c r="AU911" s="37"/>
      <c r="AV911" s="37"/>
      <c r="AW911" s="37"/>
      <c r="AX911" s="37"/>
    </row>
    <row r="912" spans="1:50" ht="20.100000000000001" customHeight="1" x14ac:dyDescent="0.25">
      <c r="A912" s="37"/>
      <c r="B912" s="58"/>
      <c r="C912" s="37"/>
      <c r="D912" s="97"/>
      <c r="E912" s="98"/>
      <c r="F912" s="101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3"/>
      <c r="T912" s="83"/>
      <c r="U912" s="85"/>
      <c r="V912" s="83"/>
      <c r="W912" s="85"/>
      <c r="X912" s="97"/>
      <c r="Y912" s="100"/>
      <c r="Z912" s="100"/>
      <c r="AA912" s="100"/>
      <c r="AB912" s="100"/>
      <c r="AC912" s="100"/>
      <c r="AD912" s="98"/>
      <c r="AE912" s="83"/>
      <c r="AF912" s="84"/>
      <c r="AG912" s="85"/>
      <c r="AH912" s="83"/>
      <c r="AI912" s="84"/>
      <c r="AJ912" s="84"/>
      <c r="AK912" s="85"/>
      <c r="AL912" s="83"/>
      <c r="AM912" s="84"/>
      <c r="AN912" s="85"/>
      <c r="AO912" s="60"/>
      <c r="AP912" s="61"/>
      <c r="AQ912" s="77">
        <f t="shared" si="29"/>
        <v>0</v>
      </c>
      <c r="AR912" s="37"/>
      <c r="AS912" s="78">
        <f t="shared" si="30"/>
        <v>0</v>
      </c>
      <c r="AT912" s="37"/>
      <c r="AU912" s="37"/>
      <c r="AV912" s="37"/>
      <c r="AW912" s="37"/>
      <c r="AX912" s="37"/>
    </row>
    <row r="913" spans="1:50" ht="20.100000000000001" customHeight="1" x14ac:dyDescent="0.25">
      <c r="A913" s="37"/>
      <c r="B913" s="58"/>
      <c r="C913" s="37"/>
      <c r="D913" s="97"/>
      <c r="E913" s="98"/>
      <c r="F913" s="101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3"/>
      <c r="T913" s="83"/>
      <c r="U913" s="85"/>
      <c r="V913" s="83"/>
      <c r="W913" s="85"/>
      <c r="X913" s="97"/>
      <c r="Y913" s="100"/>
      <c r="Z913" s="100"/>
      <c r="AA913" s="100"/>
      <c r="AB913" s="100"/>
      <c r="AC913" s="100"/>
      <c r="AD913" s="98"/>
      <c r="AE913" s="83"/>
      <c r="AF913" s="84"/>
      <c r="AG913" s="85"/>
      <c r="AH913" s="83"/>
      <c r="AI913" s="84"/>
      <c r="AJ913" s="84"/>
      <c r="AK913" s="85"/>
      <c r="AL913" s="83"/>
      <c r="AM913" s="84"/>
      <c r="AN913" s="85"/>
      <c r="AO913" s="60"/>
      <c r="AP913" s="61"/>
      <c r="AQ913" s="77">
        <f t="shared" si="29"/>
        <v>0</v>
      </c>
      <c r="AR913" s="37"/>
      <c r="AS913" s="78">
        <f t="shared" si="30"/>
        <v>0</v>
      </c>
      <c r="AT913" s="37"/>
      <c r="AU913" s="37"/>
      <c r="AV913" s="37"/>
      <c r="AW913" s="37"/>
      <c r="AX913" s="37"/>
    </row>
    <row r="914" spans="1:50" ht="20.100000000000001" customHeight="1" x14ac:dyDescent="0.25">
      <c r="A914" s="37"/>
      <c r="B914" s="58"/>
      <c r="C914" s="37"/>
      <c r="D914" s="97"/>
      <c r="E914" s="98"/>
      <c r="F914" s="101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3"/>
      <c r="T914" s="83"/>
      <c r="U914" s="85"/>
      <c r="V914" s="83"/>
      <c r="W914" s="85"/>
      <c r="X914" s="97"/>
      <c r="Y914" s="100"/>
      <c r="Z914" s="100"/>
      <c r="AA914" s="100"/>
      <c r="AB914" s="100"/>
      <c r="AC914" s="100"/>
      <c r="AD914" s="98"/>
      <c r="AE914" s="83"/>
      <c r="AF914" s="84"/>
      <c r="AG914" s="85"/>
      <c r="AH914" s="83"/>
      <c r="AI914" s="84"/>
      <c r="AJ914" s="84"/>
      <c r="AK914" s="85"/>
      <c r="AL914" s="83"/>
      <c r="AM914" s="84"/>
      <c r="AN914" s="85"/>
      <c r="AO914" s="60"/>
      <c r="AP914" s="61"/>
      <c r="AQ914" s="77">
        <f t="shared" si="29"/>
        <v>0</v>
      </c>
      <c r="AR914" s="37"/>
      <c r="AS914" s="78">
        <f t="shared" si="30"/>
        <v>0</v>
      </c>
      <c r="AT914" s="37"/>
      <c r="AU914" s="37"/>
      <c r="AV914" s="37"/>
      <c r="AW914" s="37"/>
      <c r="AX914" s="37"/>
    </row>
    <row r="915" spans="1:50" ht="20.100000000000001" customHeight="1" x14ac:dyDescent="0.25">
      <c r="A915" s="37"/>
      <c r="B915" s="58"/>
      <c r="C915" s="37"/>
      <c r="D915" s="97"/>
      <c r="E915" s="98"/>
      <c r="F915" s="101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3"/>
      <c r="T915" s="83"/>
      <c r="U915" s="85"/>
      <c r="V915" s="83"/>
      <c r="W915" s="85"/>
      <c r="X915" s="97"/>
      <c r="Y915" s="100"/>
      <c r="Z915" s="100"/>
      <c r="AA915" s="100"/>
      <c r="AB915" s="100"/>
      <c r="AC915" s="100"/>
      <c r="AD915" s="98"/>
      <c r="AE915" s="83"/>
      <c r="AF915" s="84"/>
      <c r="AG915" s="85"/>
      <c r="AH915" s="83"/>
      <c r="AI915" s="84"/>
      <c r="AJ915" s="84"/>
      <c r="AK915" s="85"/>
      <c r="AL915" s="83"/>
      <c r="AM915" s="84"/>
      <c r="AN915" s="85"/>
      <c r="AO915" s="60"/>
      <c r="AP915" s="61"/>
      <c r="AQ915" s="77">
        <f t="shared" si="29"/>
        <v>0</v>
      </c>
      <c r="AR915" s="37"/>
      <c r="AS915" s="78">
        <f t="shared" si="30"/>
        <v>0</v>
      </c>
      <c r="AT915" s="37"/>
      <c r="AU915" s="37"/>
      <c r="AV915" s="37"/>
      <c r="AW915" s="37"/>
      <c r="AX915" s="37"/>
    </row>
    <row r="916" spans="1:50" ht="20.100000000000001" customHeight="1" x14ac:dyDescent="0.25">
      <c r="A916" s="37"/>
      <c r="B916" s="58"/>
      <c r="C916" s="37"/>
      <c r="D916" s="97"/>
      <c r="E916" s="98"/>
      <c r="F916" s="101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3"/>
      <c r="T916" s="83"/>
      <c r="U916" s="85"/>
      <c r="V916" s="83"/>
      <c r="W916" s="85"/>
      <c r="X916" s="97"/>
      <c r="Y916" s="100"/>
      <c r="Z916" s="100"/>
      <c r="AA916" s="100"/>
      <c r="AB916" s="100"/>
      <c r="AC916" s="100"/>
      <c r="AD916" s="98"/>
      <c r="AE916" s="83"/>
      <c r="AF916" s="84"/>
      <c r="AG916" s="85"/>
      <c r="AH916" s="83"/>
      <c r="AI916" s="84"/>
      <c r="AJ916" s="84"/>
      <c r="AK916" s="85"/>
      <c r="AL916" s="83"/>
      <c r="AM916" s="84"/>
      <c r="AN916" s="85"/>
      <c r="AO916" s="60"/>
      <c r="AP916" s="61"/>
      <c r="AQ916" s="77">
        <f t="shared" si="29"/>
        <v>0</v>
      </c>
      <c r="AR916" s="37"/>
      <c r="AS916" s="78">
        <f t="shared" si="30"/>
        <v>0</v>
      </c>
      <c r="AT916" s="37"/>
      <c r="AU916" s="37"/>
      <c r="AV916" s="37"/>
      <c r="AW916" s="37"/>
      <c r="AX916" s="37"/>
    </row>
    <row r="917" spans="1:50" ht="20.100000000000001" customHeight="1" x14ac:dyDescent="0.25">
      <c r="A917" s="37"/>
      <c r="B917" s="58"/>
      <c r="C917" s="37"/>
      <c r="D917" s="97"/>
      <c r="E917" s="98"/>
      <c r="F917" s="101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3"/>
      <c r="T917" s="83"/>
      <c r="U917" s="85"/>
      <c r="V917" s="83"/>
      <c r="W917" s="85"/>
      <c r="X917" s="97"/>
      <c r="Y917" s="100"/>
      <c r="Z917" s="100"/>
      <c r="AA917" s="100"/>
      <c r="AB917" s="100"/>
      <c r="AC917" s="100"/>
      <c r="AD917" s="98"/>
      <c r="AE917" s="83"/>
      <c r="AF917" s="84"/>
      <c r="AG917" s="85"/>
      <c r="AH917" s="83"/>
      <c r="AI917" s="84"/>
      <c r="AJ917" s="84"/>
      <c r="AK917" s="85"/>
      <c r="AL917" s="83"/>
      <c r="AM917" s="84"/>
      <c r="AN917" s="85"/>
      <c r="AO917" s="60"/>
      <c r="AP917" s="61"/>
      <c r="AQ917" s="77">
        <f t="shared" si="29"/>
        <v>0</v>
      </c>
      <c r="AR917" s="37"/>
      <c r="AS917" s="78">
        <f t="shared" si="30"/>
        <v>0</v>
      </c>
      <c r="AT917" s="37"/>
      <c r="AU917" s="37"/>
      <c r="AV917" s="37"/>
      <c r="AW917" s="37"/>
      <c r="AX917" s="37"/>
    </row>
    <row r="918" spans="1:50" ht="20.100000000000001" customHeight="1" x14ac:dyDescent="0.25">
      <c r="A918" s="37"/>
      <c r="B918" s="58"/>
      <c r="C918" s="37"/>
      <c r="D918" s="97"/>
      <c r="E918" s="98"/>
      <c r="F918" s="101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3"/>
      <c r="T918" s="83"/>
      <c r="U918" s="85"/>
      <c r="V918" s="83"/>
      <c r="W918" s="85"/>
      <c r="X918" s="97"/>
      <c r="Y918" s="100"/>
      <c r="Z918" s="100"/>
      <c r="AA918" s="100"/>
      <c r="AB918" s="100"/>
      <c r="AC918" s="100"/>
      <c r="AD918" s="98"/>
      <c r="AE918" s="83"/>
      <c r="AF918" s="84"/>
      <c r="AG918" s="85"/>
      <c r="AH918" s="83"/>
      <c r="AI918" s="84"/>
      <c r="AJ918" s="84"/>
      <c r="AK918" s="85"/>
      <c r="AL918" s="83"/>
      <c r="AM918" s="84"/>
      <c r="AN918" s="85"/>
      <c r="AO918" s="60"/>
      <c r="AP918" s="61"/>
      <c r="AQ918" s="77">
        <f t="shared" si="29"/>
        <v>0</v>
      </c>
      <c r="AR918" s="37"/>
      <c r="AS918" s="78">
        <f t="shared" si="30"/>
        <v>0</v>
      </c>
      <c r="AT918" s="37"/>
      <c r="AU918" s="37"/>
      <c r="AV918" s="37"/>
      <c r="AW918" s="37"/>
      <c r="AX918" s="37"/>
    </row>
    <row r="919" spans="1:50" ht="20.100000000000001" customHeight="1" x14ac:dyDescent="0.25">
      <c r="A919" s="37"/>
      <c r="B919" s="58"/>
      <c r="C919" s="37"/>
      <c r="D919" s="97"/>
      <c r="E919" s="98"/>
      <c r="F919" s="101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3"/>
      <c r="T919" s="83"/>
      <c r="U919" s="85"/>
      <c r="V919" s="83"/>
      <c r="W919" s="85"/>
      <c r="X919" s="97"/>
      <c r="Y919" s="100"/>
      <c r="Z919" s="100"/>
      <c r="AA919" s="100"/>
      <c r="AB919" s="100"/>
      <c r="AC919" s="100"/>
      <c r="AD919" s="98"/>
      <c r="AE919" s="83"/>
      <c r="AF919" s="84"/>
      <c r="AG919" s="85"/>
      <c r="AH919" s="83"/>
      <c r="AI919" s="84"/>
      <c r="AJ919" s="84"/>
      <c r="AK919" s="85"/>
      <c r="AL919" s="83"/>
      <c r="AM919" s="84"/>
      <c r="AN919" s="85"/>
      <c r="AO919" s="60"/>
      <c r="AP919" s="61"/>
      <c r="AQ919" s="77">
        <f t="shared" si="29"/>
        <v>0</v>
      </c>
      <c r="AR919" s="37"/>
      <c r="AS919" s="78">
        <f t="shared" si="30"/>
        <v>0</v>
      </c>
      <c r="AT919" s="37"/>
      <c r="AU919" s="37"/>
      <c r="AV919" s="37"/>
      <c r="AW919" s="37"/>
      <c r="AX919" s="37"/>
    </row>
    <row r="920" spans="1:50" ht="20.100000000000001" customHeight="1" x14ac:dyDescent="0.25">
      <c r="A920" s="37"/>
      <c r="B920" s="58"/>
      <c r="C920" s="37"/>
      <c r="D920" s="97"/>
      <c r="E920" s="98"/>
      <c r="F920" s="101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3"/>
      <c r="T920" s="83"/>
      <c r="U920" s="85"/>
      <c r="V920" s="83"/>
      <c r="W920" s="85"/>
      <c r="X920" s="97"/>
      <c r="Y920" s="100"/>
      <c r="Z920" s="100"/>
      <c r="AA920" s="100"/>
      <c r="AB920" s="100"/>
      <c r="AC920" s="100"/>
      <c r="AD920" s="98"/>
      <c r="AE920" s="83"/>
      <c r="AF920" s="84"/>
      <c r="AG920" s="85"/>
      <c r="AH920" s="83"/>
      <c r="AI920" s="84"/>
      <c r="AJ920" s="84"/>
      <c r="AK920" s="85"/>
      <c r="AL920" s="83"/>
      <c r="AM920" s="84"/>
      <c r="AN920" s="85"/>
      <c r="AO920" s="60"/>
      <c r="AP920" s="61"/>
      <c r="AQ920" s="77">
        <f t="shared" si="29"/>
        <v>0</v>
      </c>
      <c r="AR920" s="37"/>
      <c r="AS920" s="78">
        <f t="shared" si="30"/>
        <v>0</v>
      </c>
      <c r="AT920" s="37"/>
      <c r="AU920" s="37"/>
      <c r="AV920" s="37"/>
      <c r="AW920" s="37"/>
      <c r="AX920" s="37"/>
    </row>
    <row r="921" spans="1:50" ht="20.100000000000001" customHeight="1" x14ac:dyDescent="0.25">
      <c r="A921" s="37"/>
      <c r="B921" s="58"/>
      <c r="C921" s="37"/>
      <c r="D921" s="97"/>
      <c r="E921" s="98"/>
      <c r="F921" s="101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3"/>
      <c r="T921" s="83"/>
      <c r="U921" s="85"/>
      <c r="V921" s="83"/>
      <c r="W921" s="85"/>
      <c r="X921" s="97"/>
      <c r="Y921" s="100"/>
      <c r="Z921" s="100"/>
      <c r="AA921" s="100"/>
      <c r="AB921" s="100"/>
      <c r="AC921" s="100"/>
      <c r="AD921" s="98"/>
      <c r="AE921" s="83"/>
      <c r="AF921" s="84"/>
      <c r="AG921" s="85"/>
      <c r="AH921" s="83"/>
      <c r="AI921" s="84"/>
      <c r="AJ921" s="84"/>
      <c r="AK921" s="85"/>
      <c r="AL921" s="83"/>
      <c r="AM921" s="84"/>
      <c r="AN921" s="85"/>
      <c r="AO921" s="60"/>
      <c r="AP921" s="61"/>
      <c r="AQ921" s="77">
        <f t="shared" si="29"/>
        <v>0</v>
      </c>
      <c r="AR921" s="37"/>
      <c r="AS921" s="78">
        <f t="shared" si="30"/>
        <v>0</v>
      </c>
      <c r="AT921" s="37"/>
      <c r="AU921" s="37"/>
      <c r="AV921" s="37"/>
      <c r="AW921" s="37"/>
      <c r="AX921" s="37"/>
    </row>
    <row r="922" spans="1:50" ht="20.100000000000001" customHeight="1" x14ac:dyDescent="0.25">
      <c r="A922" s="37"/>
      <c r="B922" s="58"/>
      <c r="C922" s="37"/>
      <c r="D922" s="97"/>
      <c r="E922" s="98"/>
      <c r="F922" s="101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3"/>
      <c r="T922" s="83"/>
      <c r="U922" s="85"/>
      <c r="V922" s="83"/>
      <c r="W922" s="85"/>
      <c r="X922" s="97"/>
      <c r="Y922" s="100"/>
      <c r="Z922" s="100"/>
      <c r="AA922" s="100"/>
      <c r="AB922" s="100"/>
      <c r="AC922" s="100"/>
      <c r="AD922" s="98"/>
      <c r="AE922" s="83"/>
      <c r="AF922" s="84"/>
      <c r="AG922" s="85"/>
      <c r="AH922" s="83"/>
      <c r="AI922" s="84"/>
      <c r="AJ922" s="84"/>
      <c r="AK922" s="85"/>
      <c r="AL922" s="83"/>
      <c r="AM922" s="84"/>
      <c r="AN922" s="85"/>
      <c r="AO922" s="60"/>
      <c r="AP922" s="61"/>
      <c r="AQ922" s="77">
        <f t="shared" si="29"/>
        <v>0</v>
      </c>
      <c r="AR922" s="37"/>
      <c r="AS922" s="78">
        <f t="shared" si="30"/>
        <v>0</v>
      </c>
      <c r="AT922" s="37"/>
      <c r="AU922" s="37"/>
      <c r="AV922" s="37"/>
      <c r="AW922" s="37"/>
      <c r="AX922" s="37"/>
    </row>
    <row r="923" spans="1:50" ht="20.100000000000001" customHeight="1" x14ac:dyDescent="0.25">
      <c r="A923" s="37"/>
      <c r="B923" s="58"/>
      <c r="C923" s="37"/>
      <c r="D923" s="97"/>
      <c r="E923" s="98"/>
      <c r="F923" s="101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3"/>
      <c r="T923" s="83"/>
      <c r="U923" s="85"/>
      <c r="V923" s="83"/>
      <c r="W923" s="85"/>
      <c r="X923" s="97"/>
      <c r="Y923" s="100"/>
      <c r="Z923" s="100"/>
      <c r="AA923" s="100"/>
      <c r="AB923" s="100"/>
      <c r="AC923" s="100"/>
      <c r="AD923" s="98"/>
      <c r="AE923" s="83"/>
      <c r="AF923" s="84"/>
      <c r="AG923" s="85"/>
      <c r="AH923" s="83"/>
      <c r="AI923" s="84"/>
      <c r="AJ923" s="84"/>
      <c r="AK923" s="85"/>
      <c r="AL923" s="83"/>
      <c r="AM923" s="84"/>
      <c r="AN923" s="85"/>
      <c r="AO923" s="60"/>
      <c r="AP923" s="61"/>
      <c r="AQ923" s="77">
        <f t="shared" si="29"/>
        <v>0</v>
      </c>
      <c r="AR923" s="37"/>
      <c r="AS923" s="78">
        <f t="shared" si="30"/>
        <v>0</v>
      </c>
      <c r="AT923" s="37"/>
      <c r="AU923" s="37"/>
      <c r="AV923" s="37"/>
      <c r="AW923" s="37"/>
      <c r="AX923" s="37"/>
    </row>
    <row r="924" spans="1:50" ht="20.100000000000001" customHeight="1" x14ac:dyDescent="0.25">
      <c r="A924" s="37"/>
      <c r="B924" s="58"/>
      <c r="C924" s="37"/>
      <c r="D924" s="97"/>
      <c r="E924" s="98"/>
      <c r="F924" s="101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3"/>
      <c r="T924" s="83"/>
      <c r="U924" s="85"/>
      <c r="V924" s="83"/>
      <c r="W924" s="85"/>
      <c r="X924" s="97"/>
      <c r="Y924" s="100"/>
      <c r="Z924" s="100"/>
      <c r="AA924" s="100"/>
      <c r="AB924" s="100"/>
      <c r="AC924" s="100"/>
      <c r="AD924" s="98"/>
      <c r="AE924" s="83"/>
      <c r="AF924" s="84"/>
      <c r="AG924" s="85"/>
      <c r="AH924" s="83"/>
      <c r="AI924" s="84"/>
      <c r="AJ924" s="84"/>
      <c r="AK924" s="85"/>
      <c r="AL924" s="83"/>
      <c r="AM924" s="84"/>
      <c r="AN924" s="85"/>
      <c r="AO924" s="60"/>
      <c r="AP924" s="61"/>
      <c r="AQ924" s="77">
        <f t="shared" si="29"/>
        <v>0</v>
      </c>
      <c r="AR924" s="37"/>
      <c r="AS924" s="78">
        <f t="shared" si="30"/>
        <v>0</v>
      </c>
      <c r="AT924" s="37"/>
      <c r="AU924" s="37"/>
      <c r="AV924" s="37"/>
      <c r="AW924" s="37"/>
      <c r="AX924" s="37"/>
    </row>
    <row r="925" spans="1:50" ht="20.100000000000001" customHeight="1" x14ac:dyDescent="0.25">
      <c r="A925" s="37"/>
      <c r="B925" s="58"/>
      <c r="C925" s="37"/>
      <c r="D925" s="97"/>
      <c r="E925" s="98"/>
      <c r="F925" s="101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3"/>
      <c r="T925" s="83"/>
      <c r="U925" s="85"/>
      <c r="V925" s="83"/>
      <c r="W925" s="85"/>
      <c r="X925" s="97"/>
      <c r="Y925" s="100"/>
      <c r="Z925" s="100"/>
      <c r="AA925" s="100"/>
      <c r="AB925" s="100"/>
      <c r="AC925" s="100"/>
      <c r="AD925" s="98"/>
      <c r="AE925" s="83"/>
      <c r="AF925" s="84"/>
      <c r="AG925" s="85"/>
      <c r="AH925" s="83"/>
      <c r="AI925" s="84"/>
      <c r="AJ925" s="84"/>
      <c r="AK925" s="85"/>
      <c r="AL925" s="83"/>
      <c r="AM925" s="84"/>
      <c r="AN925" s="85"/>
      <c r="AO925" s="60"/>
      <c r="AP925" s="61"/>
      <c r="AQ925" s="77">
        <f t="shared" si="29"/>
        <v>0</v>
      </c>
      <c r="AR925" s="37"/>
      <c r="AS925" s="78">
        <f t="shared" si="30"/>
        <v>0</v>
      </c>
      <c r="AT925" s="37"/>
      <c r="AU925" s="37"/>
      <c r="AV925" s="37"/>
      <c r="AW925" s="37"/>
      <c r="AX925" s="37"/>
    </row>
    <row r="926" spans="1:50" ht="20.100000000000001" customHeight="1" x14ac:dyDescent="0.25">
      <c r="A926" s="37"/>
      <c r="B926" s="58"/>
      <c r="C926" s="37"/>
      <c r="D926" s="97"/>
      <c r="E926" s="98"/>
      <c r="F926" s="101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3"/>
      <c r="T926" s="83"/>
      <c r="U926" s="85"/>
      <c r="V926" s="83"/>
      <c r="W926" s="85"/>
      <c r="X926" s="97"/>
      <c r="Y926" s="100"/>
      <c r="Z926" s="100"/>
      <c r="AA926" s="100"/>
      <c r="AB926" s="100"/>
      <c r="AC926" s="100"/>
      <c r="AD926" s="98"/>
      <c r="AE926" s="83"/>
      <c r="AF926" s="84"/>
      <c r="AG926" s="85"/>
      <c r="AH926" s="83"/>
      <c r="AI926" s="84"/>
      <c r="AJ926" s="84"/>
      <c r="AK926" s="85"/>
      <c r="AL926" s="83"/>
      <c r="AM926" s="84"/>
      <c r="AN926" s="85"/>
      <c r="AO926" s="60"/>
      <c r="AP926" s="61"/>
      <c r="AQ926" s="77">
        <f t="shared" si="29"/>
        <v>0</v>
      </c>
      <c r="AR926" s="37"/>
      <c r="AS926" s="78">
        <f t="shared" si="30"/>
        <v>0</v>
      </c>
      <c r="AT926" s="37"/>
      <c r="AU926" s="37"/>
      <c r="AV926" s="37"/>
      <c r="AW926" s="37"/>
      <c r="AX926" s="37"/>
    </row>
    <row r="927" spans="1:50" ht="20.100000000000001" customHeight="1" x14ac:dyDescent="0.25">
      <c r="A927" s="37"/>
      <c r="B927" s="58"/>
      <c r="C927" s="37"/>
      <c r="D927" s="97"/>
      <c r="E927" s="98"/>
      <c r="F927" s="101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3"/>
      <c r="T927" s="83"/>
      <c r="U927" s="85"/>
      <c r="V927" s="83"/>
      <c r="W927" s="85"/>
      <c r="X927" s="97"/>
      <c r="Y927" s="100"/>
      <c r="Z927" s="100"/>
      <c r="AA927" s="100"/>
      <c r="AB927" s="100"/>
      <c r="AC927" s="100"/>
      <c r="AD927" s="98"/>
      <c r="AE927" s="83"/>
      <c r="AF927" s="84"/>
      <c r="AG927" s="85"/>
      <c r="AH927" s="83"/>
      <c r="AI927" s="84"/>
      <c r="AJ927" s="84"/>
      <c r="AK927" s="85"/>
      <c r="AL927" s="83"/>
      <c r="AM927" s="84"/>
      <c r="AN927" s="85"/>
      <c r="AO927" s="60"/>
      <c r="AP927" s="61"/>
      <c r="AQ927" s="77">
        <f t="shared" si="29"/>
        <v>0</v>
      </c>
      <c r="AR927" s="37"/>
      <c r="AS927" s="78">
        <f t="shared" si="30"/>
        <v>0</v>
      </c>
      <c r="AT927" s="37"/>
      <c r="AU927" s="37"/>
      <c r="AV927" s="37"/>
      <c r="AW927" s="37"/>
      <c r="AX927" s="37"/>
    </row>
    <row r="928" spans="1:50" ht="20.100000000000001" customHeight="1" x14ac:dyDescent="0.25">
      <c r="A928" s="37"/>
      <c r="B928" s="58"/>
      <c r="C928" s="37"/>
      <c r="D928" s="97"/>
      <c r="E928" s="98"/>
      <c r="F928" s="101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3"/>
      <c r="T928" s="83"/>
      <c r="U928" s="85"/>
      <c r="V928" s="83"/>
      <c r="W928" s="85"/>
      <c r="X928" s="97"/>
      <c r="Y928" s="100"/>
      <c r="Z928" s="100"/>
      <c r="AA928" s="100"/>
      <c r="AB928" s="100"/>
      <c r="AC928" s="100"/>
      <c r="AD928" s="98"/>
      <c r="AE928" s="83"/>
      <c r="AF928" s="84"/>
      <c r="AG928" s="85"/>
      <c r="AH928" s="83"/>
      <c r="AI928" s="84"/>
      <c r="AJ928" s="84"/>
      <c r="AK928" s="85"/>
      <c r="AL928" s="83"/>
      <c r="AM928" s="84"/>
      <c r="AN928" s="85"/>
      <c r="AO928" s="60"/>
      <c r="AP928" s="61"/>
      <c r="AQ928" s="77">
        <f t="shared" si="29"/>
        <v>0</v>
      </c>
      <c r="AR928" s="37"/>
      <c r="AS928" s="78">
        <f t="shared" si="30"/>
        <v>0</v>
      </c>
      <c r="AT928" s="37"/>
      <c r="AU928" s="37"/>
      <c r="AV928" s="37"/>
      <c r="AW928" s="37"/>
      <c r="AX928" s="37"/>
    </row>
    <row r="929" spans="1:50" ht="20.100000000000001" customHeight="1" x14ac:dyDescent="0.25">
      <c r="A929" s="37"/>
      <c r="B929" s="58"/>
      <c r="C929" s="37"/>
      <c r="D929" s="97"/>
      <c r="E929" s="98"/>
      <c r="F929" s="101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3"/>
      <c r="T929" s="83"/>
      <c r="U929" s="85"/>
      <c r="V929" s="83"/>
      <c r="W929" s="85"/>
      <c r="X929" s="97"/>
      <c r="Y929" s="100"/>
      <c r="Z929" s="100"/>
      <c r="AA929" s="100"/>
      <c r="AB929" s="100"/>
      <c r="AC929" s="100"/>
      <c r="AD929" s="98"/>
      <c r="AE929" s="83"/>
      <c r="AF929" s="84"/>
      <c r="AG929" s="85"/>
      <c r="AH929" s="83"/>
      <c r="AI929" s="84"/>
      <c r="AJ929" s="84"/>
      <c r="AK929" s="85"/>
      <c r="AL929" s="83"/>
      <c r="AM929" s="84"/>
      <c r="AN929" s="85"/>
      <c r="AO929" s="60"/>
      <c r="AP929" s="61"/>
      <c r="AQ929" s="77">
        <f t="shared" si="29"/>
        <v>0</v>
      </c>
      <c r="AR929" s="37"/>
      <c r="AS929" s="78">
        <f t="shared" si="30"/>
        <v>0</v>
      </c>
      <c r="AT929" s="37"/>
      <c r="AU929" s="37"/>
      <c r="AV929" s="37"/>
      <c r="AW929" s="37"/>
      <c r="AX929" s="37"/>
    </row>
    <row r="930" spans="1:50" ht="20.100000000000001" customHeight="1" x14ac:dyDescent="0.25">
      <c r="A930" s="37"/>
      <c r="B930" s="58"/>
      <c r="C930" s="37"/>
      <c r="D930" s="97"/>
      <c r="E930" s="98"/>
      <c r="F930" s="101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3"/>
      <c r="T930" s="83"/>
      <c r="U930" s="85"/>
      <c r="V930" s="83"/>
      <c r="W930" s="85"/>
      <c r="X930" s="97"/>
      <c r="Y930" s="100"/>
      <c r="Z930" s="100"/>
      <c r="AA930" s="100"/>
      <c r="AB930" s="100"/>
      <c r="AC930" s="100"/>
      <c r="AD930" s="98"/>
      <c r="AE930" s="83"/>
      <c r="AF930" s="84"/>
      <c r="AG930" s="85"/>
      <c r="AH930" s="83"/>
      <c r="AI930" s="84"/>
      <c r="AJ930" s="84"/>
      <c r="AK930" s="85"/>
      <c r="AL930" s="83"/>
      <c r="AM930" s="84"/>
      <c r="AN930" s="85"/>
      <c r="AO930" s="60"/>
      <c r="AP930" s="61"/>
      <c r="AQ930" s="77">
        <f t="shared" si="29"/>
        <v>0</v>
      </c>
      <c r="AR930" s="37"/>
      <c r="AS930" s="78">
        <f t="shared" si="30"/>
        <v>0</v>
      </c>
      <c r="AT930" s="37"/>
      <c r="AU930" s="37"/>
      <c r="AV930" s="37"/>
      <c r="AW930" s="37"/>
      <c r="AX930" s="37"/>
    </row>
    <row r="931" spans="1:50" ht="20.100000000000001" customHeight="1" x14ac:dyDescent="0.25">
      <c r="A931" s="37"/>
      <c r="B931" s="58"/>
      <c r="C931" s="37"/>
      <c r="D931" s="97"/>
      <c r="E931" s="98"/>
      <c r="F931" s="101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3"/>
      <c r="T931" s="83"/>
      <c r="U931" s="85"/>
      <c r="V931" s="83"/>
      <c r="W931" s="85"/>
      <c r="X931" s="97"/>
      <c r="Y931" s="100"/>
      <c r="Z931" s="100"/>
      <c r="AA931" s="100"/>
      <c r="AB931" s="100"/>
      <c r="AC931" s="100"/>
      <c r="AD931" s="98"/>
      <c r="AE931" s="83"/>
      <c r="AF931" s="84"/>
      <c r="AG931" s="85"/>
      <c r="AH931" s="83"/>
      <c r="AI931" s="84"/>
      <c r="AJ931" s="84"/>
      <c r="AK931" s="85"/>
      <c r="AL931" s="83"/>
      <c r="AM931" s="84"/>
      <c r="AN931" s="85"/>
      <c r="AO931" s="60"/>
      <c r="AP931" s="61"/>
      <c r="AQ931" s="77">
        <f t="shared" si="29"/>
        <v>0</v>
      </c>
      <c r="AR931" s="37"/>
      <c r="AS931" s="78">
        <f t="shared" si="30"/>
        <v>0</v>
      </c>
      <c r="AT931" s="37"/>
      <c r="AU931" s="37"/>
      <c r="AV931" s="37"/>
      <c r="AW931" s="37"/>
      <c r="AX931" s="37"/>
    </row>
    <row r="932" spans="1:50" ht="20.100000000000001" customHeight="1" x14ac:dyDescent="0.25">
      <c r="A932" s="37"/>
      <c r="B932" s="58"/>
      <c r="C932" s="37"/>
      <c r="D932" s="97"/>
      <c r="E932" s="98"/>
      <c r="F932" s="101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3"/>
      <c r="T932" s="83"/>
      <c r="U932" s="85"/>
      <c r="V932" s="83"/>
      <c r="W932" s="85"/>
      <c r="X932" s="97"/>
      <c r="Y932" s="100"/>
      <c r="Z932" s="100"/>
      <c r="AA932" s="100"/>
      <c r="AB932" s="100"/>
      <c r="AC932" s="100"/>
      <c r="AD932" s="98"/>
      <c r="AE932" s="83"/>
      <c r="AF932" s="84"/>
      <c r="AG932" s="85"/>
      <c r="AH932" s="83"/>
      <c r="AI932" s="84"/>
      <c r="AJ932" s="84"/>
      <c r="AK932" s="85"/>
      <c r="AL932" s="83"/>
      <c r="AM932" s="84"/>
      <c r="AN932" s="85"/>
      <c r="AO932" s="60"/>
      <c r="AP932" s="61"/>
      <c r="AQ932" s="77">
        <f t="shared" si="29"/>
        <v>0</v>
      </c>
      <c r="AR932" s="37"/>
      <c r="AS932" s="78">
        <f t="shared" si="30"/>
        <v>0</v>
      </c>
      <c r="AT932" s="37"/>
      <c r="AU932" s="37"/>
      <c r="AV932" s="37"/>
      <c r="AW932" s="37"/>
      <c r="AX932" s="37"/>
    </row>
    <row r="933" spans="1:50" ht="20.100000000000001" customHeight="1" x14ac:dyDescent="0.25">
      <c r="A933" s="37"/>
      <c r="B933" s="58"/>
      <c r="C933" s="37"/>
      <c r="D933" s="97"/>
      <c r="E933" s="98"/>
      <c r="F933" s="101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3"/>
      <c r="T933" s="83"/>
      <c r="U933" s="85"/>
      <c r="V933" s="83"/>
      <c r="W933" s="85"/>
      <c r="X933" s="97"/>
      <c r="Y933" s="100"/>
      <c r="Z933" s="100"/>
      <c r="AA933" s="100"/>
      <c r="AB933" s="100"/>
      <c r="AC933" s="100"/>
      <c r="AD933" s="98"/>
      <c r="AE933" s="83"/>
      <c r="AF933" s="84"/>
      <c r="AG933" s="85"/>
      <c r="AH933" s="83"/>
      <c r="AI933" s="84"/>
      <c r="AJ933" s="84"/>
      <c r="AK933" s="85"/>
      <c r="AL933" s="83"/>
      <c r="AM933" s="84"/>
      <c r="AN933" s="85"/>
      <c r="AO933" s="60"/>
      <c r="AP933" s="61"/>
      <c r="AQ933" s="77">
        <f t="shared" si="29"/>
        <v>0</v>
      </c>
      <c r="AR933" s="37"/>
      <c r="AS933" s="78">
        <f t="shared" si="30"/>
        <v>0</v>
      </c>
      <c r="AT933" s="37"/>
      <c r="AU933" s="37"/>
      <c r="AV933" s="37"/>
      <c r="AW933" s="37"/>
      <c r="AX933" s="37"/>
    </row>
    <row r="934" spans="1:50" ht="20.100000000000001" customHeight="1" x14ac:dyDescent="0.25">
      <c r="A934" s="37"/>
      <c r="B934" s="58"/>
      <c r="C934" s="37"/>
      <c r="D934" s="97"/>
      <c r="E934" s="98"/>
      <c r="F934" s="101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3"/>
      <c r="T934" s="83"/>
      <c r="U934" s="85"/>
      <c r="V934" s="83"/>
      <c r="W934" s="85"/>
      <c r="X934" s="97"/>
      <c r="Y934" s="100"/>
      <c r="Z934" s="100"/>
      <c r="AA934" s="100"/>
      <c r="AB934" s="100"/>
      <c r="AC934" s="100"/>
      <c r="AD934" s="98"/>
      <c r="AE934" s="83"/>
      <c r="AF934" s="84"/>
      <c r="AG934" s="85"/>
      <c r="AH934" s="83"/>
      <c r="AI934" s="84"/>
      <c r="AJ934" s="84"/>
      <c r="AK934" s="85"/>
      <c r="AL934" s="83"/>
      <c r="AM934" s="84"/>
      <c r="AN934" s="85"/>
      <c r="AO934" s="60"/>
      <c r="AP934" s="61"/>
      <c r="AQ934" s="77">
        <f t="shared" si="29"/>
        <v>0</v>
      </c>
      <c r="AR934" s="37"/>
      <c r="AS934" s="78">
        <f t="shared" si="30"/>
        <v>0</v>
      </c>
      <c r="AT934" s="37"/>
      <c r="AU934" s="37"/>
      <c r="AV934" s="37"/>
      <c r="AW934" s="37"/>
      <c r="AX934" s="37"/>
    </row>
    <row r="935" spans="1:50" ht="20.100000000000001" customHeight="1" x14ac:dyDescent="0.25">
      <c r="A935" s="37"/>
      <c r="B935" s="58"/>
      <c r="C935" s="37"/>
      <c r="D935" s="97"/>
      <c r="E935" s="98"/>
      <c r="F935" s="101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3"/>
      <c r="T935" s="83"/>
      <c r="U935" s="85"/>
      <c r="V935" s="83"/>
      <c r="W935" s="85"/>
      <c r="X935" s="97"/>
      <c r="Y935" s="100"/>
      <c r="Z935" s="100"/>
      <c r="AA935" s="100"/>
      <c r="AB935" s="100"/>
      <c r="AC935" s="100"/>
      <c r="AD935" s="98"/>
      <c r="AE935" s="83"/>
      <c r="AF935" s="84"/>
      <c r="AG935" s="85"/>
      <c r="AH935" s="83"/>
      <c r="AI935" s="84"/>
      <c r="AJ935" s="84"/>
      <c r="AK935" s="85"/>
      <c r="AL935" s="83"/>
      <c r="AM935" s="84"/>
      <c r="AN935" s="85"/>
      <c r="AO935" s="60"/>
      <c r="AP935" s="61"/>
      <c r="AQ935" s="77">
        <f t="shared" si="29"/>
        <v>0</v>
      </c>
      <c r="AR935" s="37"/>
      <c r="AS935" s="78">
        <f t="shared" si="30"/>
        <v>0</v>
      </c>
      <c r="AT935" s="37"/>
      <c r="AU935" s="37"/>
      <c r="AV935" s="37"/>
      <c r="AW935" s="37"/>
      <c r="AX935" s="37"/>
    </row>
    <row r="936" spans="1:50" ht="20.100000000000001" customHeight="1" x14ac:dyDescent="0.25">
      <c r="A936" s="37"/>
      <c r="B936" s="58"/>
      <c r="C936" s="37"/>
      <c r="D936" s="97"/>
      <c r="E936" s="98"/>
      <c r="F936" s="101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3"/>
      <c r="T936" s="83"/>
      <c r="U936" s="85"/>
      <c r="V936" s="83"/>
      <c r="W936" s="85"/>
      <c r="X936" s="97"/>
      <c r="Y936" s="100"/>
      <c r="Z936" s="100"/>
      <c r="AA936" s="100"/>
      <c r="AB936" s="100"/>
      <c r="AC936" s="100"/>
      <c r="AD936" s="98"/>
      <c r="AE936" s="83"/>
      <c r="AF936" s="84"/>
      <c r="AG936" s="85"/>
      <c r="AH936" s="83"/>
      <c r="AI936" s="84"/>
      <c r="AJ936" s="84"/>
      <c r="AK936" s="85"/>
      <c r="AL936" s="83"/>
      <c r="AM936" s="84"/>
      <c r="AN936" s="85"/>
      <c r="AO936" s="60"/>
      <c r="AP936" s="61"/>
      <c r="AQ936" s="77">
        <f t="shared" si="29"/>
        <v>0</v>
      </c>
      <c r="AR936" s="37"/>
      <c r="AS936" s="78">
        <f t="shared" si="30"/>
        <v>0</v>
      </c>
      <c r="AT936" s="37"/>
      <c r="AU936" s="37"/>
      <c r="AV936" s="37"/>
      <c r="AW936" s="37"/>
      <c r="AX936" s="37"/>
    </row>
    <row r="937" spans="1:50" ht="20.100000000000001" customHeight="1" x14ac:dyDescent="0.25">
      <c r="A937" s="37"/>
      <c r="B937" s="58"/>
      <c r="C937" s="37"/>
      <c r="D937" s="97"/>
      <c r="E937" s="98"/>
      <c r="F937" s="101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3"/>
      <c r="T937" s="83"/>
      <c r="U937" s="85"/>
      <c r="V937" s="83"/>
      <c r="W937" s="85"/>
      <c r="X937" s="97"/>
      <c r="Y937" s="100"/>
      <c r="Z937" s="100"/>
      <c r="AA937" s="100"/>
      <c r="AB937" s="100"/>
      <c r="AC937" s="100"/>
      <c r="AD937" s="98"/>
      <c r="AE937" s="83"/>
      <c r="AF937" s="84"/>
      <c r="AG937" s="85"/>
      <c r="AH937" s="83"/>
      <c r="AI937" s="84"/>
      <c r="AJ937" s="84"/>
      <c r="AK937" s="85"/>
      <c r="AL937" s="83"/>
      <c r="AM937" s="84"/>
      <c r="AN937" s="85"/>
      <c r="AO937" s="60"/>
      <c r="AP937" s="61"/>
      <c r="AQ937" s="77">
        <f t="shared" si="29"/>
        <v>0</v>
      </c>
      <c r="AR937" s="37"/>
      <c r="AS937" s="78">
        <f t="shared" si="30"/>
        <v>0</v>
      </c>
      <c r="AT937" s="37"/>
      <c r="AU937" s="37"/>
      <c r="AV937" s="37"/>
      <c r="AW937" s="37"/>
      <c r="AX937" s="37"/>
    </row>
    <row r="938" spans="1:50" ht="20.100000000000001" customHeight="1" x14ac:dyDescent="0.25">
      <c r="A938" s="37"/>
      <c r="B938" s="58"/>
      <c r="C938" s="37"/>
      <c r="D938" s="97"/>
      <c r="E938" s="98"/>
      <c r="F938" s="101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3"/>
      <c r="T938" s="83"/>
      <c r="U938" s="85"/>
      <c r="V938" s="83"/>
      <c r="W938" s="85"/>
      <c r="X938" s="97"/>
      <c r="Y938" s="100"/>
      <c r="Z938" s="100"/>
      <c r="AA938" s="100"/>
      <c r="AB938" s="100"/>
      <c r="AC938" s="100"/>
      <c r="AD938" s="98"/>
      <c r="AE938" s="83"/>
      <c r="AF938" s="84"/>
      <c r="AG938" s="85"/>
      <c r="AH938" s="83"/>
      <c r="AI938" s="84"/>
      <c r="AJ938" s="84"/>
      <c r="AK938" s="85"/>
      <c r="AL938" s="83"/>
      <c r="AM938" s="84"/>
      <c r="AN938" s="85"/>
      <c r="AO938" s="60"/>
      <c r="AP938" s="61"/>
      <c r="AQ938" s="77">
        <f t="shared" si="29"/>
        <v>0</v>
      </c>
      <c r="AR938" s="37"/>
      <c r="AS938" s="78">
        <f t="shared" si="30"/>
        <v>0</v>
      </c>
      <c r="AT938" s="37"/>
      <c r="AU938" s="37"/>
      <c r="AV938" s="37"/>
      <c r="AW938" s="37"/>
      <c r="AX938" s="37"/>
    </row>
    <row r="939" spans="1:50" ht="20.100000000000001" customHeight="1" x14ac:dyDescent="0.25">
      <c r="A939" s="37"/>
      <c r="B939" s="58"/>
      <c r="C939" s="37"/>
      <c r="D939" s="97"/>
      <c r="E939" s="98"/>
      <c r="F939" s="101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3"/>
      <c r="T939" s="83"/>
      <c r="U939" s="85"/>
      <c r="V939" s="83"/>
      <c r="W939" s="85"/>
      <c r="X939" s="97"/>
      <c r="Y939" s="100"/>
      <c r="Z939" s="100"/>
      <c r="AA939" s="100"/>
      <c r="AB939" s="100"/>
      <c r="AC939" s="100"/>
      <c r="AD939" s="98"/>
      <c r="AE939" s="83"/>
      <c r="AF939" s="84"/>
      <c r="AG939" s="85"/>
      <c r="AH939" s="83"/>
      <c r="AI939" s="84"/>
      <c r="AJ939" s="84"/>
      <c r="AK939" s="85"/>
      <c r="AL939" s="83"/>
      <c r="AM939" s="84"/>
      <c r="AN939" s="85"/>
      <c r="AO939" s="60"/>
      <c r="AP939" s="61"/>
      <c r="AQ939" s="77">
        <f t="shared" si="29"/>
        <v>0</v>
      </c>
      <c r="AR939" s="37"/>
      <c r="AS939" s="78">
        <f t="shared" si="30"/>
        <v>0</v>
      </c>
      <c r="AT939" s="37"/>
      <c r="AU939" s="37"/>
      <c r="AV939" s="37"/>
      <c r="AW939" s="37"/>
      <c r="AX939" s="37"/>
    </row>
    <row r="940" spans="1:50" ht="20.100000000000001" customHeight="1" x14ac:dyDescent="0.25">
      <c r="A940" s="37"/>
      <c r="B940" s="58"/>
      <c r="C940" s="37"/>
      <c r="D940" s="97"/>
      <c r="E940" s="98"/>
      <c r="F940" s="101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3"/>
      <c r="T940" s="83"/>
      <c r="U940" s="85"/>
      <c r="V940" s="83"/>
      <c r="W940" s="85"/>
      <c r="X940" s="97"/>
      <c r="Y940" s="100"/>
      <c r="Z940" s="100"/>
      <c r="AA940" s="100"/>
      <c r="AB940" s="100"/>
      <c r="AC940" s="100"/>
      <c r="AD940" s="98"/>
      <c r="AE940" s="83"/>
      <c r="AF940" s="84"/>
      <c r="AG940" s="85"/>
      <c r="AH940" s="83"/>
      <c r="AI940" s="84"/>
      <c r="AJ940" s="84"/>
      <c r="AK940" s="85"/>
      <c r="AL940" s="83"/>
      <c r="AM940" s="84"/>
      <c r="AN940" s="85"/>
      <c r="AO940" s="60"/>
      <c r="AP940" s="61"/>
      <c r="AQ940" s="77">
        <f t="shared" si="29"/>
        <v>0</v>
      </c>
      <c r="AR940" s="37"/>
      <c r="AS940" s="78">
        <f t="shared" si="30"/>
        <v>0</v>
      </c>
      <c r="AT940" s="37"/>
      <c r="AU940" s="37"/>
      <c r="AV940" s="37"/>
      <c r="AW940" s="37"/>
      <c r="AX940" s="37"/>
    </row>
    <row r="941" spans="1:50" ht="20.100000000000001" customHeight="1" x14ac:dyDescent="0.25">
      <c r="A941" s="37"/>
      <c r="B941" s="58"/>
      <c r="C941" s="37"/>
      <c r="D941" s="97"/>
      <c r="E941" s="98"/>
      <c r="F941" s="101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3"/>
      <c r="T941" s="83"/>
      <c r="U941" s="85"/>
      <c r="V941" s="83"/>
      <c r="W941" s="85"/>
      <c r="X941" s="97"/>
      <c r="Y941" s="100"/>
      <c r="Z941" s="100"/>
      <c r="AA941" s="100"/>
      <c r="AB941" s="100"/>
      <c r="AC941" s="100"/>
      <c r="AD941" s="98"/>
      <c r="AE941" s="83"/>
      <c r="AF941" s="84"/>
      <c r="AG941" s="85"/>
      <c r="AH941" s="83"/>
      <c r="AI941" s="84"/>
      <c r="AJ941" s="84"/>
      <c r="AK941" s="85"/>
      <c r="AL941" s="83"/>
      <c r="AM941" s="84"/>
      <c r="AN941" s="85"/>
      <c r="AO941" s="60"/>
      <c r="AP941" s="61"/>
      <c r="AQ941" s="77">
        <f t="shared" si="29"/>
        <v>0</v>
      </c>
      <c r="AR941" s="37"/>
      <c r="AS941" s="78">
        <f t="shared" si="30"/>
        <v>0</v>
      </c>
      <c r="AT941" s="37"/>
      <c r="AU941" s="37"/>
      <c r="AV941" s="37"/>
      <c r="AW941" s="37"/>
      <c r="AX941" s="37"/>
    </row>
    <row r="942" spans="1:50" ht="20.100000000000001" customHeight="1" x14ac:dyDescent="0.25">
      <c r="A942" s="37"/>
      <c r="B942" s="58"/>
      <c r="C942" s="37"/>
      <c r="D942" s="97"/>
      <c r="E942" s="98"/>
      <c r="F942" s="101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3"/>
      <c r="T942" s="83"/>
      <c r="U942" s="85"/>
      <c r="V942" s="83"/>
      <c r="W942" s="85"/>
      <c r="X942" s="97"/>
      <c r="Y942" s="100"/>
      <c r="Z942" s="100"/>
      <c r="AA942" s="100"/>
      <c r="AB942" s="100"/>
      <c r="AC942" s="100"/>
      <c r="AD942" s="98"/>
      <c r="AE942" s="83"/>
      <c r="AF942" s="84"/>
      <c r="AG942" s="85"/>
      <c r="AH942" s="83"/>
      <c r="AI942" s="84"/>
      <c r="AJ942" s="84"/>
      <c r="AK942" s="85"/>
      <c r="AL942" s="83"/>
      <c r="AM942" s="84"/>
      <c r="AN942" s="85"/>
      <c r="AO942" s="60"/>
      <c r="AP942" s="61"/>
      <c r="AQ942" s="77">
        <f t="shared" si="29"/>
        <v>0</v>
      </c>
      <c r="AR942" s="37"/>
      <c r="AS942" s="78">
        <f t="shared" si="30"/>
        <v>0</v>
      </c>
      <c r="AT942" s="37"/>
      <c r="AU942" s="37"/>
      <c r="AV942" s="37"/>
      <c r="AW942" s="37"/>
      <c r="AX942" s="37"/>
    </row>
    <row r="943" spans="1:50" ht="20.100000000000001" customHeight="1" x14ac:dyDescent="0.25">
      <c r="A943" s="37"/>
      <c r="B943" s="58"/>
      <c r="C943" s="37"/>
      <c r="D943" s="97"/>
      <c r="E943" s="98"/>
      <c r="F943" s="101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3"/>
      <c r="T943" s="83"/>
      <c r="U943" s="85"/>
      <c r="V943" s="83"/>
      <c r="W943" s="85"/>
      <c r="X943" s="97"/>
      <c r="Y943" s="100"/>
      <c r="Z943" s="100"/>
      <c r="AA943" s="100"/>
      <c r="AB943" s="100"/>
      <c r="AC943" s="100"/>
      <c r="AD943" s="98"/>
      <c r="AE943" s="83"/>
      <c r="AF943" s="84"/>
      <c r="AG943" s="85"/>
      <c r="AH943" s="83"/>
      <c r="AI943" s="84"/>
      <c r="AJ943" s="84"/>
      <c r="AK943" s="85"/>
      <c r="AL943" s="83"/>
      <c r="AM943" s="84"/>
      <c r="AN943" s="85"/>
      <c r="AO943" s="60"/>
      <c r="AP943" s="61"/>
      <c r="AQ943" s="77">
        <f t="shared" si="29"/>
        <v>0</v>
      </c>
      <c r="AR943" s="37"/>
      <c r="AS943" s="78">
        <f t="shared" si="30"/>
        <v>0</v>
      </c>
      <c r="AT943" s="37"/>
      <c r="AU943" s="37"/>
      <c r="AV943" s="37"/>
      <c r="AW943" s="37"/>
      <c r="AX943" s="37"/>
    </row>
    <row r="944" spans="1:50" ht="20.100000000000001" customHeight="1" x14ac:dyDescent="0.25">
      <c r="A944" s="37"/>
      <c r="B944" s="58"/>
      <c r="C944" s="37"/>
      <c r="D944" s="97"/>
      <c r="E944" s="98"/>
      <c r="F944" s="101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3"/>
      <c r="T944" s="83"/>
      <c r="U944" s="85"/>
      <c r="V944" s="83"/>
      <c r="W944" s="85"/>
      <c r="X944" s="97"/>
      <c r="Y944" s="100"/>
      <c r="Z944" s="100"/>
      <c r="AA944" s="100"/>
      <c r="AB944" s="100"/>
      <c r="AC944" s="100"/>
      <c r="AD944" s="98"/>
      <c r="AE944" s="83"/>
      <c r="AF944" s="84"/>
      <c r="AG944" s="85"/>
      <c r="AH944" s="83"/>
      <c r="AI944" s="84"/>
      <c r="AJ944" s="84"/>
      <c r="AK944" s="85"/>
      <c r="AL944" s="83"/>
      <c r="AM944" s="84"/>
      <c r="AN944" s="85"/>
      <c r="AO944" s="60"/>
      <c r="AP944" s="61"/>
      <c r="AQ944" s="77">
        <f t="shared" si="29"/>
        <v>0</v>
      </c>
      <c r="AR944" s="37"/>
      <c r="AS944" s="78">
        <f t="shared" si="30"/>
        <v>0</v>
      </c>
      <c r="AT944" s="37"/>
      <c r="AU944" s="37"/>
      <c r="AV944" s="37"/>
      <c r="AW944" s="37"/>
      <c r="AX944" s="37"/>
    </row>
    <row r="945" spans="1:50" ht="20.100000000000001" customHeight="1" x14ac:dyDescent="0.25">
      <c r="A945" s="37"/>
      <c r="B945" s="58"/>
      <c r="C945" s="37"/>
      <c r="D945" s="97"/>
      <c r="E945" s="98"/>
      <c r="F945" s="101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3"/>
      <c r="T945" s="83"/>
      <c r="U945" s="85"/>
      <c r="V945" s="83"/>
      <c r="W945" s="85"/>
      <c r="X945" s="97"/>
      <c r="Y945" s="100"/>
      <c r="Z945" s="100"/>
      <c r="AA945" s="100"/>
      <c r="AB945" s="100"/>
      <c r="AC945" s="100"/>
      <c r="AD945" s="98"/>
      <c r="AE945" s="83"/>
      <c r="AF945" s="84"/>
      <c r="AG945" s="85"/>
      <c r="AH945" s="83"/>
      <c r="AI945" s="84"/>
      <c r="AJ945" s="84"/>
      <c r="AK945" s="85"/>
      <c r="AL945" s="83"/>
      <c r="AM945" s="84"/>
      <c r="AN945" s="85"/>
      <c r="AO945" s="60"/>
      <c r="AP945" s="61"/>
      <c r="AQ945" s="77">
        <f t="shared" si="29"/>
        <v>0</v>
      </c>
      <c r="AR945" s="37"/>
      <c r="AS945" s="78">
        <f t="shared" si="30"/>
        <v>0</v>
      </c>
      <c r="AT945" s="37"/>
      <c r="AU945" s="37"/>
      <c r="AV945" s="37"/>
      <c r="AW945" s="37"/>
      <c r="AX945" s="37"/>
    </row>
    <row r="946" spans="1:50" ht="20.100000000000001" customHeight="1" x14ac:dyDescent="0.25">
      <c r="A946" s="37"/>
      <c r="B946" s="58"/>
      <c r="C946" s="37"/>
      <c r="D946" s="97"/>
      <c r="E946" s="98"/>
      <c r="F946" s="101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3"/>
      <c r="T946" s="83"/>
      <c r="U946" s="85"/>
      <c r="V946" s="83"/>
      <c r="W946" s="85"/>
      <c r="X946" s="97"/>
      <c r="Y946" s="100"/>
      <c r="Z946" s="100"/>
      <c r="AA946" s="100"/>
      <c r="AB946" s="100"/>
      <c r="AC946" s="100"/>
      <c r="AD946" s="98"/>
      <c r="AE946" s="83"/>
      <c r="AF946" s="84"/>
      <c r="AG946" s="85"/>
      <c r="AH946" s="83"/>
      <c r="AI946" s="84"/>
      <c r="AJ946" s="84"/>
      <c r="AK946" s="85"/>
      <c r="AL946" s="83"/>
      <c r="AM946" s="84"/>
      <c r="AN946" s="85"/>
      <c r="AO946" s="60"/>
      <c r="AP946" s="61"/>
      <c r="AQ946" s="77">
        <f t="shared" si="29"/>
        <v>0</v>
      </c>
      <c r="AR946" s="37"/>
      <c r="AS946" s="78">
        <f t="shared" si="30"/>
        <v>0</v>
      </c>
      <c r="AT946" s="37"/>
      <c r="AU946" s="37"/>
      <c r="AV946" s="37"/>
      <c r="AW946" s="37"/>
      <c r="AX946" s="37"/>
    </row>
    <row r="947" spans="1:50" ht="20.100000000000001" customHeight="1" x14ac:dyDescent="0.25">
      <c r="A947" s="37"/>
      <c r="B947" s="58"/>
      <c r="C947" s="37"/>
      <c r="D947" s="97"/>
      <c r="E947" s="98"/>
      <c r="F947" s="101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3"/>
      <c r="T947" s="83"/>
      <c r="U947" s="85"/>
      <c r="V947" s="83"/>
      <c r="W947" s="85"/>
      <c r="X947" s="97"/>
      <c r="Y947" s="100"/>
      <c r="Z947" s="100"/>
      <c r="AA947" s="100"/>
      <c r="AB947" s="100"/>
      <c r="AC947" s="100"/>
      <c r="AD947" s="98"/>
      <c r="AE947" s="83"/>
      <c r="AF947" s="84"/>
      <c r="AG947" s="85"/>
      <c r="AH947" s="83"/>
      <c r="AI947" s="84"/>
      <c r="AJ947" s="84"/>
      <c r="AK947" s="85"/>
      <c r="AL947" s="83"/>
      <c r="AM947" s="84"/>
      <c r="AN947" s="85"/>
      <c r="AO947" s="60"/>
      <c r="AP947" s="61"/>
      <c r="AQ947" s="77">
        <f t="shared" si="29"/>
        <v>0</v>
      </c>
      <c r="AR947" s="37"/>
      <c r="AS947" s="78">
        <f t="shared" si="30"/>
        <v>0</v>
      </c>
      <c r="AT947" s="37"/>
      <c r="AU947" s="37"/>
      <c r="AV947" s="37"/>
      <c r="AW947" s="37"/>
      <c r="AX947" s="37"/>
    </row>
    <row r="948" spans="1:50" ht="20.100000000000001" customHeight="1" x14ac:dyDescent="0.25">
      <c r="A948" s="37"/>
      <c r="B948" s="58"/>
      <c r="C948" s="37"/>
      <c r="D948" s="97"/>
      <c r="E948" s="98"/>
      <c r="F948" s="101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3"/>
      <c r="T948" s="83"/>
      <c r="U948" s="85"/>
      <c r="V948" s="83"/>
      <c r="W948" s="85"/>
      <c r="X948" s="97"/>
      <c r="Y948" s="100"/>
      <c r="Z948" s="100"/>
      <c r="AA948" s="100"/>
      <c r="AB948" s="100"/>
      <c r="AC948" s="100"/>
      <c r="AD948" s="98"/>
      <c r="AE948" s="83"/>
      <c r="AF948" s="84"/>
      <c r="AG948" s="85"/>
      <c r="AH948" s="83"/>
      <c r="AI948" s="84"/>
      <c r="AJ948" s="84"/>
      <c r="AK948" s="85"/>
      <c r="AL948" s="83"/>
      <c r="AM948" s="84"/>
      <c r="AN948" s="85"/>
      <c r="AO948" s="60"/>
      <c r="AP948" s="61"/>
      <c r="AQ948" s="77">
        <f t="shared" si="29"/>
        <v>0</v>
      </c>
      <c r="AR948" s="37"/>
      <c r="AS948" s="78">
        <f t="shared" si="30"/>
        <v>0</v>
      </c>
      <c r="AT948" s="37"/>
      <c r="AU948" s="37"/>
      <c r="AV948" s="37"/>
      <c r="AW948" s="37"/>
      <c r="AX948" s="37"/>
    </row>
    <row r="949" spans="1:50" ht="20.100000000000001" customHeight="1" x14ac:dyDescent="0.25">
      <c r="A949" s="37"/>
      <c r="B949" s="58"/>
      <c r="C949" s="37"/>
      <c r="D949" s="97"/>
      <c r="E949" s="98"/>
      <c r="F949" s="101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3"/>
      <c r="T949" s="83"/>
      <c r="U949" s="85"/>
      <c r="V949" s="83"/>
      <c r="W949" s="85"/>
      <c r="X949" s="97"/>
      <c r="Y949" s="100"/>
      <c r="Z949" s="100"/>
      <c r="AA949" s="100"/>
      <c r="AB949" s="100"/>
      <c r="AC949" s="100"/>
      <c r="AD949" s="98"/>
      <c r="AE949" s="83"/>
      <c r="AF949" s="84"/>
      <c r="AG949" s="85"/>
      <c r="AH949" s="83"/>
      <c r="AI949" s="84"/>
      <c r="AJ949" s="84"/>
      <c r="AK949" s="85"/>
      <c r="AL949" s="83"/>
      <c r="AM949" s="84"/>
      <c r="AN949" s="85"/>
      <c r="AO949" s="60"/>
      <c r="AP949" s="61"/>
      <c r="AQ949" s="77">
        <f t="shared" si="29"/>
        <v>0</v>
      </c>
      <c r="AR949" s="37"/>
      <c r="AS949" s="78">
        <f t="shared" si="30"/>
        <v>0</v>
      </c>
      <c r="AT949" s="37"/>
      <c r="AU949" s="37"/>
      <c r="AV949" s="37"/>
      <c r="AW949" s="37"/>
      <c r="AX949" s="37"/>
    </row>
    <row r="950" spans="1:50" ht="20.100000000000001" customHeight="1" x14ac:dyDescent="0.25">
      <c r="A950" s="37"/>
      <c r="B950" s="58"/>
      <c r="C950" s="37"/>
      <c r="D950" s="97"/>
      <c r="E950" s="98"/>
      <c r="F950" s="101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3"/>
      <c r="T950" s="83"/>
      <c r="U950" s="85"/>
      <c r="V950" s="83"/>
      <c r="W950" s="85"/>
      <c r="X950" s="97"/>
      <c r="Y950" s="100"/>
      <c r="Z950" s="100"/>
      <c r="AA950" s="100"/>
      <c r="AB950" s="100"/>
      <c r="AC950" s="100"/>
      <c r="AD950" s="98"/>
      <c r="AE950" s="83"/>
      <c r="AF950" s="84"/>
      <c r="AG950" s="85"/>
      <c r="AH950" s="83"/>
      <c r="AI950" s="84"/>
      <c r="AJ950" s="84"/>
      <c r="AK950" s="85"/>
      <c r="AL950" s="83"/>
      <c r="AM950" s="84"/>
      <c r="AN950" s="85"/>
      <c r="AO950" s="60"/>
      <c r="AP950" s="61"/>
      <c r="AQ950" s="77">
        <f t="shared" si="29"/>
        <v>0</v>
      </c>
      <c r="AR950" s="37"/>
      <c r="AS950" s="78">
        <f t="shared" si="30"/>
        <v>0</v>
      </c>
      <c r="AT950" s="37"/>
      <c r="AU950" s="37"/>
      <c r="AV950" s="37"/>
      <c r="AW950" s="37"/>
      <c r="AX950" s="37"/>
    </row>
    <row r="951" spans="1:50" ht="20.100000000000001" customHeight="1" x14ac:dyDescent="0.25">
      <c r="A951" s="37"/>
      <c r="B951" s="58"/>
      <c r="C951" s="37"/>
      <c r="D951" s="97"/>
      <c r="E951" s="98"/>
      <c r="F951" s="101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3"/>
      <c r="T951" s="83"/>
      <c r="U951" s="85"/>
      <c r="V951" s="83"/>
      <c r="W951" s="85"/>
      <c r="X951" s="97"/>
      <c r="Y951" s="100"/>
      <c r="Z951" s="100"/>
      <c r="AA951" s="100"/>
      <c r="AB951" s="100"/>
      <c r="AC951" s="100"/>
      <c r="AD951" s="98"/>
      <c r="AE951" s="83"/>
      <c r="AF951" s="84"/>
      <c r="AG951" s="85"/>
      <c r="AH951" s="83"/>
      <c r="AI951" s="84"/>
      <c r="AJ951" s="84"/>
      <c r="AK951" s="85"/>
      <c r="AL951" s="83"/>
      <c r="AM951" s="84"/>
      <c r="AN951" s="85"/>
      <c r="AO951" s="60"/>
      <c r="AP951" s="61"/>
      <c r="AQ951" s="77">
        <f t="shared" si="29"/>
        <v>0</v>
      </c>
      <c r="AR951" s="37"/>
      <c r="AS951" s="78">
        <f t="shared" si="30"/>
        <v>0</v>
      </c>
      <c r="AT951" s="37"/>
      <c r="AU951" s="37"/>
      <c r="AV951" s="37"/>
      <c r="AW951" s="37"/>
      <c r="AX951" s="37"/>
    </row>
    <row r="952" spans="1:50" ht="20.100000000000001" customHeight="1" x14ac:dyDescent="0.25">
      <c r="A952" s="37"/>
      <c r="B952" s="58"/>
      <c r="C952" s="37"/>
      <c r="D952" s="97"/>
      <c r="E952" s="98"/>
      <c r="F952" s="101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3"/>
      <c r="T952" s="83"/>
      <c r="U952" s="85"/>
      <c r="V952" s="83"/>
      <c r="W952" s="85"/>
      <c r="X952" s="97"/>
      <c r="Y952" s="100"/>
      <c r="Z952" s="100"/>
      <c r="AA952" s="100"/>
      <c r="AB952" s="100"/>
      <c r="AC952" s="100"/>
      <c r="AD952" s="98"/>
      <c r="AE952" s="83"/>
      <c r="AF952" s="84"/>
      <c r="AG952" s="85"/>
      <c r="AH952" s="83"/>
      <c r="AI952" s="84"/>
      <c r="AJ952" s="84"/>
      <c r="AK952" s="85"/>
      <c r="AL952" s="83"/>
      <c r="AM952" s="84"/>
      <c r="AN952" s="85"/>
      <c r="AO952" s="60"/>
      <c r="AP952" s="61"/>
      <c r="AQ952" s="77">
        <f t="shared" si="29"/>
        <v>0</v>
      </c>
      <c r="AR952" s="37"/>
      <c r="AS952" s="78">
        <f t="shared" si="30"/>
        <v>0</v>
      </c>
      <c r="AT952" s="37"/>
      <c r="AU952" s="37"/>
      <c r="AV952" s="37"/>
      <c r="AW952" s="37"/>
      <c r="AX952" s="37"/>
    </row>
    <row r="953" spans="1:50" ht="20.100000000000001" customHeight="1" x14ac:dyDescent="0.25">
      <c r="A953" s="37"/>
      <c r="B953" s="58"/>
      <c r="C953" s="37"/>
      <c r="D953" s="97"/>
      <c r="E953" s="98"/>
      <c r="F953" s="101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3"/>
      <c r="T953" s="83"/>
      <c r="U953" s="85"/>
      <c r="V953" s="83"/>
      <c r="W953" s="85"/>
      <c r="X953" s="97"/>
      <c r="Y953" s="100"/>
      <c r="Z953" s="100"/>
      <c r="AA953" s="100"/>
      <c r="AB953" s="100"/>
      <c r="AC953" s="100"/>
      <c r="AD953" s="98"/>
      <c r="AE953" s="83"/>
      <c r="AF953" s="84"/>
      <c r="AG953" s="85"/>
      <c r="AH953" s="83"/>
      <c r="AI953" s="84"/>
      <c r="AJ953" s="84"/>
      <c r="AK953" s="85"/>
      <c r="AL953" s="83"/>
      <c r="AM953" s="84"/>
      <c r="AN953" s="85"/>
      <c r="AO953" s="60"/>
      <c r="AP953" s="61"/>
      <c r="AQ953" s="77">
        <f t="shared" si="29"/>
        <v>0</v>
      </c>
      <c r="AR953" s="37"/>
      <c r="AS953" s="78">
        <f t="shared" si="30"/>
        <v>0</v>
      </c>
      <c r="AT953" s="37"/>
      <c r="AU953" s="37"/>
      <c r="AV953" s="37"/>
      <c r="AW953" s="37"/>
      <c r="AX953" s="37"/>
    </row>
    <row r="954" spans="1:50" ht="20.100000000000001" customHeight="1" x14ac:dyDescent="0.25">
      <c r="A954" s="37"/>
      <c r="B954" s="58"/>
      <c r="C954" s="37"/>
      <c r="D954" s="97"/>
      <c r="E954" s="98"/>
      <c r="F954" s="101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3"/>
      <c r="T954" s="83"/>
      <c r="U954" s="85"/>
      <c r="V954" s="83"/>
      <c r="W954" s="85"/>
      <c r="X954" s="97"/>
      <c r="Y954" s="100"/>
      <c r="Z954" s="100"/>
      <c r="AA954" s="100"/>
      <c r="AB954" s="100"/>
      <c r="AC954" s="100"/>
      <c r="AD954" s="98"/>
      <c r="AE954" s="83"/>
      <c r="AF954" s="84"/>
      <c r="AG954" s="85"/>
      <c r="AH954" s="83"/>
      <c r="AI954" s="84"/>
      <c r="AJ954" s="84"/>
      <c r="AK954" s="85"/>
      <c r="AL954" s="83"/>
      <c r="AM954" s="84"/>
      <c r="AN954" s="85"/>
      <c r="AO954" s="60"/>
      <c r="AP954" s="61"/>
      <c r="AQ954" s="77">
        <f t="shared" si="29"/>
        <v>0</v>
      </c>
      <c r="AR954" s="37"/>
      <c r="AS954" s="78">
        <f t="shared" si="30"/>
        <v>0</v>
      </c>
      <c r="AT954" s="37"/>
      <c r="AU954" s="37"/>
      <c r="AV954" s="37"/>
      <c r="AW954" s="37"/>
      <c r="AX954" s="37"/>
    </row>
    <row r="955" spans="1:50" ht="20.100000000000001" customHeight="1" x14ac:dyDescent="0.25">
      <c r="A955" s="37"/>
      <c r="B955" s="58"/>
      <c r="C955" s="37"/>
      <c r="D955" s="97"/>
      <c r="E955" s="98"/>
      <c r="F955" s="101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3"/>
      <c r="T955" s="83"/>
      <c r="U955" s="85"/>
      <c r="V955" s="83"/>
      <c r="W955" s="85"/>
      <c r="X955" s="97"/>
      <c r="Y955" s="100"/>
      <c r="Z955" s="100"/>
      <c r="AA955" s="100"/>
      <c r="AB955" s="100"/>
      <c r="AC955" s="100"/>
      <c r="AD955" s="98"/>
      <c r="AE955" s="83"/>
      <c r="AF955" s="84"/>
      <c r="AG955" s="85"/>
      <c r="AH955" s="83"/>
      <c r="AI955" s="84"/>
      <c r="AJ955" s="84"/>
      <c r="AK955" s="85"/>
      <c r="AL955" s="83"/>
      <c r="AM955" s="84"/>
      <c r="AN955" s="85"/>
      <c r="AO955" s="60"/>
      <c r="AP955" s="61"/>
      <c r="AQ955" s="77">
        <f t="shared" si="29"/>
        <v>0</v>
      </c>
      <c r="AR955" s="37"/>
      <c r="AS955" s="78">
        <f t="shared" si="30"/>
        <v>0</v>
      </c>
      <c r="AT955" s="37"/>
      <c r="AU955" s="37"/>
      <c r="AV955" s="37"/>
      <c r="AW955" s="37"/>
      <c r="AX955" s="37"/>
    </row>
    <row r="956" spans="1:50" ht="20.100000000000001" customHeight="1" x14ac:dyDescent="0.25">
      <c r="A956" s="37"/>
      <c r="B956" s="58"/>
      <c r="C956" s="37"/>
      <c r="D956" s="97"/>
      <c r="E956" s="98"/>
      <c r="F956" s="101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3"/>
      <c r="T956" s="83"/>
      <c r="U956" s="85"/>
      <c r="V956" s="83"/>
      <c r="W956" s="85"/>
      <c r="X956" s="97"/>
      <c r="Y956" s="100"/>
      <c r="Z956" s="100"/>
      <c r="AA956" s="100"/>
      <c r="AB956" s="100"/>
      <c r="AC956" s="100"/>
      <c r="AD956" s="98"/>
      <c r="AE956" s="83"/>
      <c r="AF956" s="84"/>
      <c r="AG956" s="85"/>
      <c r="AH956" s="83"/>
      <c r="AI956" s="84"/>
      <c r="AJ956" s="84"/>
      <c r="AK956" s="85"/>
      <c r="AL956" s="83"/>
      <c r="AM956" s="84"/>
      <c r="AN956" s="85"/>
      <c r="AO956" s="60"/>
      <c r="AP956" s="61"/>
      <c r="AQ956" s="77">
        <f t="shared" si="29"/>
        <v>0</v>
      </c>
      <c r="AR956" s="37"/>
      <c r="AS956" s="78">
        <f t="shared" si="30"/>
        <v>0</v>
      </c>
      <c r="AT956" s="37"/>
      <c r="AU956" s="37"/>
      <c r="AV956" s="37"/>
      <c r="AW956" s="37"/>
      <c r="AX956" s="37"/>
    </row>
    <row r="957" spans="1:50" ht="20.100000000000001" customHeight="1" x14ac:dyDescent="0.25">
      <c r="A957" s="37"/>
      <c r="B957" s="58"/>
      <c r="C957" s="37"/>
      <c r="D957" s="97"/>
      <c r="E957" s="98"/>
      <c r="F957" s="101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3"/>
      <c r="T957" s="83"/>
      <c r="U957" s="85"/>
      <c r="V957" s="83"/>
      <c r="W957" s="85"/>
      <c r="X957" s="97"/>
      <c r="Y957" s="100"/>
      <c r="Z957" s="100"/>
      <c r="AA957" s="100"/>
      <c r="AB957" s="100"/>
      <c r="AC957" s="100"/>
      <c r="AD957" s="98"/>
      <c r="AE957" s="83"/>
      <c r="AF957" s="84"/>
      <c r="AG957" s="85"/>
      <c r="AH957" s="83"/>
      <c r="AI957" s="84"/>
      <c r="AJ957" s="84"/>
      <c r="AK957" s="85"/>
      <c r="AL957" s="83"/>
      <c r="AM957" s="84"/>
      <c r="AN957" s="85"/>
      <c r="AO957" s="60"/>
      <c r="AP957" s="61"/>
      <c r="AQ957" s="77">
        <f t="shared" si="29"/>
        <v>0</v>
      </c>
      <c r="AR957" s="37"/>
      <c r="AS957" s="78">
        <f t="shared" si="30"/>
        <v>0</v>
      </c>
      <c r="AT957" s="37"/>
      <c r="AU957" s="37"/>
      <c r="AV957" s="37"/>
      <c r="AW957" s="37"/>
      <c r="AX957" s="37"/>
    </row>
    <row r="958" spans="1:50" ht="20.100000000000001" customHeight="1" x14ac:dyDescent="0.25">
      <c r="A958" s="37"/>
      <c r="B958" s="58"/>
      <c r="C958" s="37"/>
      <c r="D958" s="97"/>
      <c r="E958" s="98"/>
      <c r="F958" s="101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3"/>
      <c r="T958" s="83"/>
      <c r="U958" s="85"/>
      <c r="V958" s="83"/>
      <c r="W958" s="85"/>
      <c r="X958" s="97"/>
      <c r="Y958" s="100"/>
      <c r="Z958" s="100"/>
      <c r="AA958" s="100"/>
      <c r="AB958" s="100"/>
      <c r="AC958" s="100"/>
      <c r="AD958" s="98"/>
      <c r="AE958" s="83"/>
      <c r="AF958" s="84"/>
      <c r="AG958" s="85"/>
      <c r="AH958" s="83"/>
      <c r="AI958" s="84"/>
      <c r="AJ958" s="84"/>
      <c r="AK958" s="85"/>
      <c r="AL958" s="83"/>
      <c r="AM958" s="84"/>
      <c r="AN958" s="85"/>
      <c r="AO958" s="60"/>
      <c r="AP958" s="61"/>
      <c r="AQ958" s="77">
        <f t="shared" si="29"/>
        <v>0</v>
      </c>
      <c r="AR958" s="37"/>
      <c r="AS958" s="78">
        <f t="shared" si="30"/>
        <v>0</v>
      </c>
      <c r="AT958" s="37"/>
      <c r="AU958" s="37"/>
      <c r="AV958" s="37"/>
      <c r="AW958" s="37"/>
      <c r="AX958" s="37"/>
    </row>
    <row r="959" spans="1:50" ht="20.100000000000001" customHeight="1" x14ac:dyDescent="0.25">
      <c r="A959" s="37"/>
      <c r="B959" s="58"/>
      <c r="C959" s="37"/>
      <c r="D959" s="97"/>
      <c r="E959" s="98"/>
      <c r="F959" s="101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3"/>
      <c r="T959" s="83"/>
      <c r="U959" s="85"/>
      <c r="V959" s="83"/>
      <c r="W959" s="85"/>
      <c r="X959" s="97"/>
      <c r="Y959" s="100"/>
      <c r="Z959" s="100"/>
      <c r="AA959" s="100"/>
      <c r="AB959" s="100"/>
      <c r="AC959" s="100"/>
      <c r="AD959" s="98"/>
      <c r="AE959" s="83"/>
      <c r="AF959" s="84"/>
      <c r="AG959" s="85"/>
      <c r="AH959" s="83"/>
      <c r="AI959" s="84"/>
      <c r="AJ959" s="84"/>
      <c r="AK959" s="85"/>
      <c r="AL959" s="83"/>
      <c r="AM959" s="84"/>
      <c r="AN959" s="85"/>
      <c r="AO959" s="60"/>
      <c r="AP959" s="61"/>
      <c r="AQ959" s="77">
        <f t="shared" si="29"/>
        <v>0</v>
      </c>
      <c r="AR959" s="37"/>
      <c r="AS959" s="78">
        <f t="shared" si="30"/>
        <v>0</v>
      </c>
      <c r="AT959" s="37"/>
      <c r="AU959" s="37"/>
      <c r="AV959" s="37"/>
      <c r="AW959" s="37"/>
      <c r="AX959" s="37"/>
    </row>
    <row r="960" spans="1:50" ht="20.100000000000001" customHeight="1" x14ac:dyDescent="0.25">
      <c r="A960" s="37"/>
      <c r="B960" s="58"/>
      <c r="C960" s="37"/>
      <c r="D960" s="97"/>
      <c r="E960" s="98"/>
      <c r="F960" s="101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3"/>
      <c r="T960" s="83"/>
      <c r="U960" s="85"/>
      <c r="V960" s="83"/>
      <c r="W960" s="85"/>
      <c r="X960" s="97"/>
      <c r="Y960" s="100"/>
      <c r="Z960" s="100"/>
      <c r="AA960" s="100"/>
      <c r="AB960" s="100"/>
      <c r="AC960" s="100"/>
      <c r="AD960" s="98"/>
      <c r="AE960" s="83"/>
      <c r="AF960" s="84"/>
      <c r="AG960" s="85"/>
      <c r="AH960" s="83"/>
      <c r="AI960" s="84"/>
      <c r="AJ960" s="84"/>
      <c r="AK960" s="85"/>
      <c r="AL960" s="83"/>
      <c r="AM960" s="84"/>
      <c r="AN960" s="85"/>
      <c r="AO960" s="60"/>
      <c r="AP960" s="61"/>
      <c r="AQ960" s="77">
        <f t="shared" si="29"/>
        <v>0</v>
      </c>
      <c r="AR960" s="37"/>
      <c r="AS960" s="78">
        <f t="shared" si="30"/>
        <v>0</v>
      </c>
      <c r="AT960" s="37"/>
      <c r="AU960" s="37"/>
      <c r="AV960" s="37"/>
      <c r="AW960" s="37"/>
      <c r="AX960" s="37"/>
    </row>
    <row r="961" spans="1:50" ht="20.100000000000001" customHeight="1" x14ac:dyDescent="0.25">
      <c r="A961" s="37"/>
      <c r="B961" s="58"/>
      <c r="C961" s="37"/>
      <c r="D961" s="97"/>
      <c r="E961" s="98"/>
      <c r="F961" s="101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3"/>
      <c r="T961" s="83"/>
      <c r="U961" s="85"/>
      <c r="V961" s="83"/>
      <c r="W961" s="85"/>
      <c r="X961" s="97"/>
      <c r="Y961" s="100"/>
      <c r="Z961" s="100"/>
      <c r="AA961" s="100"/>
      <c r="AB961" s="100"/>
      <c r="AC961" s="100"/>
      <c r="AD961" s="98"/>
      <c r="AE961" s="83"/>
      <c r="AF961" s="84"/>
      <c r="AG961" s="85"/>
      <c r="AH961" s="83"/>
      <c r="AI961" s="84"/>
      <c r="AJ961" s="84"/>
      <c r="AK961" s="85"/>
      <c r="AL961" s="83"/>
      <c r="AM961" s="84"/>
      <c r="AN961" s="85"/>
      <c r="AO961" s="60"/>
      <c r="AP961" s="61"/>
      <c r="AQ961" s="77">
        <f t="shared" si="29"/>
        <v>0</v>
      </c>
      <c r="AR961" s="37"/>
      <c r="AS961" s="78">
        <f t="shared" si="30"/>
        <v>0</v>
      </c>
      <c r="AT961" s="37"/>
      <c r="AU961" s="37"/>
      <c r="AV961" s="37"/>
      <c r="AW961" s="37"/>
      <c r="AX961" s="37"/>
    </row>
    <row r="962" spans="1:50" ht="20.100000000000001" customHeight="1" x14ac:dyDescent="0.25">
      <c r="A962" s="37"/>
      <c r="B962" s="58"/>
      <c r="C962" s="37"/>
      <c r="D962" s="97"/>
      <c r="E962" s="98"/>
      <c r="F962" s="101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3"/>
      <c r="T962" s="83"/>
      <c r="U962" s="85"/>
      <c r="V962" s="83"/>
      <c r="W962" s="85"/>
      <c r="X962" s="97"/>
      <c r="Y962" s="100"/>
      <c r="Z962" s="100"/>
      <c r="AA962" s="100"/>
      <c r="AB962" s="100"/>
      <c r="AC962" s="100"/>
      <c r="AD962" s="98"/>
      <c r="AE962" s="83"/>
      <c r="AF962" s="84"/>
      <c r="AG962" s="85"/>
      <c r="AH962" s="83"/>
      <c r="AI962" s="84"/>
      <c r="AJ962" s="84"/>
      <c r="AK962" s="85"/>
      <c r="AL962" s="83"/>
      <c r="AM962" s="84"/>
      <c r="AN962" s="85"/>
      <c r="AO962" s="60"/>
      <c r="AP962" s="61"/>
      <c r="AQ962" s="77">
        <f t="shared" si="29"/>
        <v>0</v>
      </c>
      <c r="AR962" s="37"/>
      <c r="AS962" s="78">
        <f t="shared" si="30"/>
        <v>0</v>
      </c>
      <c r="AT962" s="37"/>
      <c r="AU962" s="37"/>
      <c r="AV962" s="37"/>
      <c r="AW962" s="37"/>
      <c r="AX962" s="37"/>
    </row>
    <row r="963" spans="1:50" ht="20.100000000000001" customHeight="1" x14ac:dyDescent="0.25">
      <c r="A963" s="37"/>
      <c r="B963" s="58"/>
      <c r="C963" s="37"/>
      <c r="D963" s="97"/>
      <c r="E963" s="98"/>
      <c r="F963" s="101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3"/>
      <c r="T963" s="83"/>
      <c r="U963" s="85"/>
      <c r="V963" s="83"/>
      <c r="W963" s="85"/>
      <c r="X963" s="97"/>
      <c r="Y963" s="100"/>
      <c r="Z963" s="100"/>
      <c r="AA963" s="100"/>
      <c r="AB963" s="100"/>
      <c r="AC963" s="100"/>
      <c r="AD963" s="98"/>
      <c r="AE963" s="83"/>
      <c r="AF963" s="84"/>
      <c r="AG963" s="85"/>
      <c r="AH963" s="83"/>
      <c r="AI963" s="84"/>
      <c r="AJ963" s="84"/>
      <c r="AK963" s="85"/>
      <c r="AL963" s="83"/>
      <c r="AM963" s="84"/>
      <c r="AN963" s="85"/>
      <c r="AO963" s="60"/>
      <c r="AP963" s="61"/>
      <c r="AQ963" s="77">
        <f t="shared" si="29"/>
        <v>0</v>
      </c>
      <c r="AR963" s="37"/>
      <c r="AS963" s="78">
        <f t="shared" si="30"/>
        <v>0</v>
      </c>
      <c r="AT963" s="37"/>
      <c r="AU963" s="37"/>
      <c r="AV963" s="37"/>
      <c r="AW963" s="37"/>
      <c r="AX963" s="37"/>
    </row>
    <row r="964" spans="1:50" ht="20.100000000000001" customHeight="1" x14ac:dyDescent="0.25">
      <c r="A964" s="37"/>
      <c r="B964" s="58"/>
      <c r="C964" s="37"/>
      <c r="D964" s="97"/>
      <c r="E964" s="98"/>
      <c r="F964" s="101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3"/>
      <c r="T964" s="83"/>
      <c r="U964" s="85"/>
      <c r="V964" s="83"/>
      <c r="W964" s="85"/>
      <c r="X964" s="97"/>
      <c r="Y964" s="100"/>
      <c r="Z964" s="100"/>
      <c r="AA964" s="100"/>
      <c r="AB964" s="100"/>
      <c r="AC964" s="100"/>
      <c r="AD964" s="98"/>
      <c r="AE964" s="83"/>
      <c r="AF964" s="84"/>
      <c r="AG964" s="85"/>
      <c r="AH964" s="83"/>
      <c r="AI964" s="84"/>
      <c r="AJ964" s="84"/>
      <c r="AK964" s="85"/>
      <c r="AL964" s="83"/>
      <c r="AM964" s="84"/>
      <c r="AN964" s="85"/>
      <c r="AO964" s="60"/>
      <c r="AP964" s="61"/>
      <c r="AQ964" s="77">
        <f t="shared" si="29"/>
        <v>0</v>
      </c>
      <c r="AR964" s="37"/>
      <c r="AS964" s="78">
        <f t="shared" si="30"/>
        <v>0</v>
      </c>
      <c r="AT964" s="37"/>
      <c r="AU964" s="37"/>
      <c r="AV964" s="37"/>
      <c r="AW964" s="37"/>
      <c r="AX964" s="37"/>
    </row>
    <row r="965" spans="1:50" ht="20.100000000000001" customHeight="1" x14ac:dyDescent="0.25">
      <c r="A965" s="37"/>
      <c r="B965" s="58"/>
      <c r="C965" s="37"/>
      <c r="D965" s="97"/>
      <c r="E965" s="98"/>
      <c r="F965" s="101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3"/>
      <c r="T965" s="83"/>
      <c r="U965" s="85"/>
      <c r="V965" s="83"/>
      <c r="W965" s="85"/>
      <c r="X965" s="97"/>
      <c r="Y965" s="100"/>
      <c r="Z965" s="100"/>
      <c r="AA965" s="100"/>
      <c r="AB965" s="100"/>
      <c r="AC965" s="100"/>
      <c r="AD965" s="98"/>
      <c r="AE965" s="83"/>
      <c r="AF965" s="84"/>
      <c r="AG965" s="85"/>
      <c r="AH965" s="83"/>
      <c r="AI965" s="84"/>
      <c r="AJ965" s="84"/>
      <c r="AK965" s="85"/>
      <c r="AL965" s="83"/>
      <c r="AM965" s="84"/>
      <c r="AN965" s="85"/>
      <c r="AO965" s="60"/>
      <c r="AP965" s="61"/>
      <c r="AQ965" s="77">
        <f t="shared" si="29"/>
        <v>0</v>
      </c>
      <c r="AR965" s="37"/>
      <c r="AS965" s="78">
        <f t="shared" si="30"/>
        <v>0</v>
      </c>
      <c r="AT965" s="37"/>
      <c r="AU965" s="37"/>
      <c r="AV965" s="37"/>
      <c r="AW965" s="37"/>
      <c r="AX965" s="37"/>
    </row>
    <row r="966" spans="1:50" ht="20.100000000000001" customHeight="1" x14ac:dyDescent="0.25">
      <c r="A966" s="37"/>
      <c r="B966" s="58"/>
      <c r="C966" s="37"/>
      <c r="D966" s="97"/>
      <c r="E966" s="98"/>
      <c r="F966" s="101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3"/>
      <c r="T966" s="83"/>
      <c r="U966" s="85"/>
      <c r="V966" s="83"/>
      <c r="W966" s="85"/>
      <c r="X966" s="97"/>
      <c r="Y966" s="100"/>
      <c r="Z966" s="100"/>
      <c r="AA966" s="100"/>
      <c r="AB966" s="100"/>
      <c r="AC966" s="100"/>
      <c r="AD966" s="98"/>
      <c r="AE966" s="83"/>
      <c r="AF966" s="84"/>
      <c r="AG966" s="85"/>
      <c r="AH966" s="83"/>
      <c r="AI966" s="84"/>
      <c r="AJ966" s="84"/>
      <c r="AK966" s="85"/>
      <c r="AL966" s="83"/>
      <c r="AM966" s="84"/>
      <c r="AN966" s="85"/>
      <c r="AO966" s="60"/>
      <c r="AP966" s="61"/>
      <c r="AQ966" s="77">
        <f t="shared" ref="AQ966:AQ998" si="31">AP966-B966</f>
        <v>0</v>
      </c>
      <c r="AR966" s="37"/>
      <c r="AS966" s="78">
        <f t="shared" si="30"/>
        <v>0</v>
      </c>
      <c r="AT966" s="37"/>
      <c r="AU966" s="37"/>
      <c r="AV966" s="37"/>
      <c r="AW966" s="37"/>
      <c r="AX966" s="37"/>
    </row>
    <row r="967" spans="1:50" ht="20.100000000000001" customHeight="1" x14ac:dyDescent="0.25">
      <c r="A967" s="37"/>
      <c r="B967" s="58"/>
      <c r="C967" s="37"/>
      <c r="D967" s="97"/>
      <c r="E967" s="98"/>
      <c r="F967" s="101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3"/>
      <c r="T967" s="83"/>
      <c r="U967" s="85"/>
      <c r="V967" s="83"/>
      <c r="W967" s="85"/>
      <c r="X967" s="97"/>
      <c r="Y967" s="100"/>
      <c r="Z967" s="100"/>
      <c r="AA967" s="100"/>
      <c r="AB967" s="100"/>
      <c r="AC967" s="100"/>
      <c r="AD967" s="98"/>
      <c r="AE967" s="83"/>
      <c r="AF967" s="84"/>
      <c r="AG967" s="85"/>
      <c r="AH967" s="83"/>
      <c r="AI967" s="84"/>
      <c r="AJ967" s="84"/>
      <c r="AK967" s="85"/>
      <c r="AL967" s="83"/>
      <c r="AM967" s="84"/>
      <c r="AN967" s="85"/>
      <c r="AO967" s="60"/>
      <c r="AP967" s="61"/>
      <c r="AQ967" s="77">
        <f t="shared" si="31"/>
        <v>0</v>
      </c>
      <c r="AR967" s="37"/>
      <c r="AS967" s="78">
        <f t="shared" ref="AS967:AS998" si="32">AP967-AR967</f>
        <v>0</v>
      </c>
      <c r="AT967" s="37"/>
      <c r="AU967" s="37"/>
      <c r="AV967" s="37"/>
      <c r="AW967" s="37"/>
      <c r="AX967" s="37"/>
    </row>
    <row r="968" spans="1:50" ht="20.100000000000001" customHeight="1" x14ac:dyDescent="0.25">
      <c r="A968" s="37"/>
      <c r="B968" s="58"/>
      <c r="C968" s="37"/>
      <c r="D968" s="97"/>
      <c r="E968" s="98"/>
      <c r="F968" s="101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3"/>
      <c r="T968" s="83"/>
      <c r="U968" s="85"/>
      <c r="V968" s="83"/>
      <c r="W968" s="85"/>
      <c r="X968" s="97"/>
      <c r="Y968" s="100"/>
      <c r="Z968" s="100"/>
      <c r="AA968" s="100"/>
      <c r="AB968" s="100"/>
      <c r="AC968" s="100"/>
      <c r="AD968" s="98"/>
      <c r="AE968" s="83"/>
      <c r="AF968" s="84"/>
      <c r="AG968" s="85"/>
      <c r="AH968" s="83"/>
      <c r="AI968" s="84"/>
      <c r="AJ968" s="84"/>
      <c r="AK968" s="85"/>
      <c r="AL968" s="83"/>
      <c r="AM968" s="84"/>
      <c r="AN968" s="85"/>
      <c r="AO968" s="60"/>
      <c r="AP968" s="61"/>
      <c r="AQ968" s="77">
        <f t="shared" si="31"/>
        <v>0</v>
      </c>
      <c r="AR968" s="37"/>
      <c r="AS968" s="78">
        <f t="shared" si="32"/>
        <v>0</v>
      </c>
      <c r="AT968" s="37"/>
      <c r="AU968" s="37"/>
      <c r="AV968" s="37"/>
      <c r="AW968" s="37"/>
      <c r="AX968" s="37"/>
    </row>
    <row r="969" spans="1:50" ht="20.100000000000001" customHeight="1" x14ac:dyDescent="0.25">
      <c r="A969" s="37"/>
      <c r="B969" s="58"/>
      <c r="C969" s="37"/>
      <c r="D969" s="97"/>
      <c r="E969" s="98"/>
      <c r="F969" s="101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3"/>
      <c r="T969" s="83"/>
      <c r="U969" s="85"/>
      <c r="V969" s="83"/>
      <c r="W969" s="85"/>
      <c r="X969" s="97"/>
      <c r="Y969" s="100"/>
      <c r="Z969" s="100"/>
      <c r="AA969" s="100"/>
      <c r="AB969" s="100"/>
      <c r="AC969" s="100"/>
      <c r="AD969" s="98"/>
      <c r="AE969" s="83"/>
      <c r="AF969" s="84"/>
      <c r="AG969" s="85"/>
      <c r="AH969" s="83"/>
      <c r="AI969" s="84"/>
      <c r="AJ969" s="84"/>
      <c r="AK969" s="85"/>
      <c r="AL969" s="83"/>
      <c r="AM969" s="84"/>
      <c r="AN969" s="85"/>
      <c r="AO969" s="60"/>
      <c r="AP969" s="61"/>
      <c r="AQ969" s="77">
        <f t="shared" si="31"/>
        <v>0</v>
      </c>
      <c r="AR969" s="37"/>
      <c r="AS969" s="78">
        <f t="shared" si="32"/>
        <v>0</v>
      </c>
      <c r="AT969" s="37"/>
      <c r="AU969" s="37"/>
      <c r="AV969" s="37"/>
      <c r="AW969" s="37"/>
      <c r="AX969" s="37"/>
    </row>
    <row r="970" spans="1:50" ht="20.100000000000001" customHeight="1" x14ac:dyDescent="0.25">
      <c r="A970" s="37"/>
      <c r="B970" s="58"/>
      <c r="C970" s="37"/>
      <c r="D970" s="97"/>
      <c r="E970" s="98"/>
      <c r="F970" s="101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3"/>
      <c r="T970" s="83"/>
      <c r="U970" s="85"/>
      <c r="V970" s="83"/>
      <c r="W970" s="85"/>
      <c r="X970" s="97"/>
      <c r="Y970" s="100"/>
      <c r="Z970" s="100"/>
      <c r="AA970" s="100"/>
      <c r="AB970" s="100"/>
      <c r="AC970" s="100"/>
      <c r="AD970" s="98"/>
      <c r="AE970" s="83"/>
      <c r="AF970" s="84"/>
      <c r="AG970" s="85"/>
      <c r="AH970" s="83"/>
      <c r="AI970" s="84"/>
      <c r="AJ970" s="84"/>
      <c r="AK970" s="85"/>
      <c r="AL970" s="83"/>
      <c r="AM970" s="84"/>
      <c r="AN970" s="85"/>
      <c r="AO970" s="60"/>
      <c r="AP970" s="61"/>
      <c r="AQ970" s="77">
        <f t="shared" si="31"/>
        <v>0</v>
      </c>
      <c r="AR970" s="37"/>
      <c r="AS970" s="78">
        <f t="shared" si="32"/>
        <v>0</v>
      </c>
      <c r="AT970" s="37"/>
      <c r="AU970" s="37"/>
      <c r="AV970" s="37"/>
      <c r="AW970" s="37"/>
      <c r="AX970" s="37"/>
    </row>
    <row r="971" spans="1:50" ht="20.100000000000001" customHeight="1" x14ac:dyDescent="0.25">
      <c r="A971" s="37"/>
      <c r="B971" s="58"/>
      <c r="C971" s="37"/>
      <c r="D971" s="97"/>
      <c r="E971" s="98"/>
      <c r="F971" s="101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3"/>
      <c r="T971" s="83"/>
      <c r="U971" s="85"/>
      <c r="V971" s="83"/>
      <c r="W971" s="85"/>
      <c r="X971" s="97"/>
      <c r="Y971" s="100"/>
      <c r="Z971" s="100"/>
      <c r="AA971" s="100"/>
      <c r="AB971" s="100"/>
      <c r="AC971" s="100"/>
      <c r="AD971" s="98"/>
      <c r="AE971" s="83"/>
      <c r="AF971" s="84"/>
      <c r="AG971" s="85"/>
      <c r="AH971" s="83"/>
      <c r="AI971" s="84"/>
      <c r="AJ971" s="84"/>
      <c r="AK971" s="85"/>
      <c r="AL971" s="83"/>
      <c r="AM971" s="84"/>
      <c r="AN971" s="85"/>
      <c r="AO971" s="60"/>
      <c r="AP971" s="61"/>
      <c r="AQ971" s="77">
        <f t="shared" si="31"/>
        <v>0</v>
      </c>
      <c r="AR971" s="37"/>
      <c r="AS971" s="78">
        <f t="shared" si="32"/>
        <v>0</v>
      </c>
      <c r="AT971" s="37"/>
      <c r="AU971" s="37"/>
      <c r="AV971" s="37"/>
      <c r="AW971" s="37"/>
      <c r="AX971" s="37"/>
    </row>
    <row r="972" spans="1:50" ht="20.100000000000001" customHeight="1" x14ac:dyDescent="0.25">
      <c r="A972" s="37"/>
      <c r="B972" s="58"/>
      <c r="C972" s="37"/>
      <c r="D972" s="97"/>
      <c r="E972" s="98"/>
      <c r="F972" s="101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3"/>
      <c r="T972" s="83"/>
      <c r="U972" s="85"/>
      <c r="V972" s="83"/>
      <c r="W972" s="85"/>
      <c r="X972" s="97"/>
      <c r="Y972" s="100"/>
      <c r="Z972" s="100"/>
      <c r="AA972" s="100"/>
      <c r="AB972" s="100"/>
      <c r="AC972" s="100"/>
      <c r="AD972" s="98"/>
      <c r="AE972" s="83"/>
      <c r="AF972" s="84"/>
      <c r="AG972" s="85"/>
      <c r="AH972" s="83"/>
      <c r="AI972" s="84"/>
      <c r="AJ972" s="84"/>
      <c r="AK972" s="85"/>
      <c r="AL972" s="83"/>
      <c r="AM972" s="84"/>
      <c r="AN972" s="85"/>
      <c r="AO972" s="60"/>
      <c r="AP972" s="61"/>
      <c r="AQ972" s="77">
        <f t="shared" si="31"/>
        <v>0</v>
      </c>
      <c r="AR972" s="37"/>
      <c r="AS972" s="78">
        <f t="shared" si="32"/>
        <v>0</v>
      </c>
      <c r="AT972" s="37"/>
      <c r="AU972" s="37"/>
      <c r="AV972" s="37"/>
      <c r="AW972" s="37"/>
      <c r="AX972" s="37"/>
    </row>
    <row r="973" spans="1:50" ht="20.100000000000001" customHeight="1" x14ac:dyDescent="0.25">
      <c r="A973" s="37"/>
      <c r="B973" s="58"/>
      <c r="C973" s="37"/>
      <c r="D973" s="97"/>
      <c r="E973" s="98"/>
      <c r="F973" s="101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3"/>
      <c r="T973" s="83"/>
      <c r="U973" s="85"/>
      <c r="V973" s="83"/>
      <c r="W973" s="85"/>
      <c r="X973" s="97"/>
      <c r="Y973" s="100"/>
      <c r="Z973" s="100"/>
      <c r="AA973" s="100"/>
      <c r="AB973" s="100"/>
      <c r="AC973" s="100"/>
      <c r="AD973" s="98"/>
      <c r="AE973" s="83"/>
      <c r="AF973" s="84"/>
      <c r="AG973" s="85"/>
      <c r="AH973" s="83"/>
      <c r="AI973" s="84"/>
      <c r="AJ973" s="84"/>
      <c r="AK973" s="85"/>
      <c r="AL973" s="83"/>
      <c r="AM973" s="84"/>
      <c r="AN973" s="85"/>
      <c r="AO973" s="60"/>
      <c r="AP973" s="61"/>
      <c r="AQ973" s="77">
        <f t="shared" si="31"/>
        <v>0</v>
      </c>
      <c r="AR973" s="37"/>
      <c r="AS973" s="78">
        <f t="shared" si="32"/>
        <v>0</v>
      </c>
      <c r="AT973" s="37"/>
      <c r="AU973" s="37"/>
      <c r="AV973" s="37"/>
      <c r="AW973" s="37"/>
      <c r="AX973" s="37"/>
    </row>
    <row r="974" spans="1:50" ht="20.100000000000001" customHeight="1" x14ac:dyDescent="0.25">
      <c r="A974" s="37"/>
      <c r="B974" s="58"/>
      <c r="C974" s="37"/>
      <c r="D974" s="97"/>
      <c r="E974" s="98"/>
      <c r="F974" s="101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3"/>
      <c r="T974" s="83"/>
      <c r="U974" s="85"/>
      <c r="V974" s="83"/>
      <c r="W974" s="85"/>
      <c r="X974" s="97"/>
      <c r="Y974" s="100"/>
      <c r="Z974" s="100"/>
      <c r="AA974" s="100"/>
      <c r="AB974" s="100"/>
      <c r="AC974" s="100"/>
      <c r="AD974" s="98"/>
      <c r="AE974" s="83"/>
      <c r="AF974" s="84"/>
      <c r="AG974" s="85"/>
      <c r="AH974" s="83"/>
      <c r="AI974" s="84"/>
      <c r="AJ974" s="84"/>
      <c r="AK974" s="85"/>
      <c r="AL974" s="83"/>
      <c r="AM974" s="84"/>
      <c r="AN974" s="85"/>
      <c r="AO974" s="60"/>
      <c r="AP974" s="61"/>
      <c r="AQ974" s="77">
        <f t="shared" si="31"/>
        <v>0</v>
      </c>
      <c r="AR974" s="37"/>
      <c r="AS974" s="78">
        <f t="shared" si="32"/>
        <v>0</v>
      </c>
      <c r="AT974" s="37"/>
      <c r="AU974" s="37"/>
      <c r="AV974" s="37"/>
      <c r="AW974" s="37"/>
      <c r="AX974" s="37"/>
    </row>
    <row r="975" spans="1:50" ht="20.100000000000001" customHeight="1" x14ac:dyDescent="0.25">
      <c r="A975" s="37"/>
      <c r="B975" s="58"/>
      <c r="C975" s="37"/>
      <c r="D975" s="97"/>
      <c r="E975" s="98"/>
      <c r="F975" s="101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3"/>
      <c r="T975" s="83"/>
      <c r="U975" s="85"/>
      <c r="V975" s="83"/>
      <c r="W975" s="85"/>
      <c r="X975" s="97"/>
      <c r="Y975" s="100"/>
      <c r="Z975" s="100"/>
      <c r="AA975" s="100"/>
      <c r="AB975" s="100"/>
      <c r="AC975" s="100"/>
      <c r="AD975" s="98"/>
      <c r="AE975" s="83"/>
      <c r="AF975" s="84"/>
      <c r="AG975" s="85"/>
      <c r="AH975" s="83"/>
      <c r="AI975" s="84"/>
      <c r="AJ975" s="84"/>
      <c r="AK975" s="85"/>
      <c r="AL975" s="83"/>
      <c r="AM975" s="84"/>
      <c r="AN975" s="85"/>
      <c r="AO975" s="60"/>
      <c r="AP975" s="61"/>
      <c r="AQ975" s="77">
        <f t="shared" si="31"/>
        <v>0</v>
      </c>
      <c r="AR975" s="37"/>
      <c r="AS975" s="78">
        <f t="shared" si="32"/>
        <v>0</v>
      </c>
      <c r="AT975" s="37"/>
      <c r="AU975" s="37"/>
      <c r="AV975" s="37"/>
      <c r="AW975" s="37"/>
      <c r="AX975" s="37"/>
    </row>
    <row r="976" spans="1:50" ht="20.100000000000001" customHeight="1" x14ac:dyDescent="0.25">
      <c r="A976" s="37"/>
      <c r="B976" s="58"/>
      <c r="C976" s="37"/>
      <c r="D976" s="97"/>
      <c r="E976" s="98"/>
      <c r="F976" s="101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3"/>
      <c r="T976" s="83"/>
      <c r="U976" s="85"/>
      <c r="V976" s="83"/>
      <c r="W976" s="85"/>
      <c r="X976" s="97"/>
      <c r="Y976" s="100"/>
      <c r="Z976" s="100"/>
      <c r="AA976" s="100"/>
      <c r="AB976" s="100"/>
      <c r="AC976" s="100"/>
      <c r="AD976" s="98"/>
      <c r="AE976" s="83"/>
      <c r="AF976" s="84"/>
      <c r="AG976" s="85"/>
      <c r="AH976" s="83"/>
      <c r="AI976" s="84"/>
      <c r="AJ976" s="84"/>
      <c r="AK976" s="85"/>
      <c r="AL976" s="83"/>
      <c r="AM976" s="84"/>
      <c r="AN976" s="85"/>
      <c r="AO976" s="60"/>
      <c r="AP976" s="61"/>
      <c r="AQ976" s="77">
        <f t="shared" si="31"/>
        <v>0</v>
      </c>
      <c r="AR976" s="37"/>
      <c r="AS976" s="78">
        <f t="shared" si="32"/>
        <v>0</v>
      </c>
      <c r="AT976" s="37"/>
      <c r="AU976" s="37"/>
      <c r="AV976" s="37"/>
      <c r="AW976" s="37"/>
      <c r="AX976" s="37"/>
    </row>
    <row r="977" spans="1:50" ht="20.100000000000001" customHeight="1" x14ac:dyDescent="0.25">
      <c r="A977" s="37"/>
      <c r="B977" s="58"/>
      <c r="C977" s="37"/>
      <c r="D977" s="97"/>
      <c r="E977" s="98"/>
      <c r="F977" s="101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3"/>
      <c r="T977" s="83"/>
      <c r="U977" s="85"/>
      <c r="V977" s="83"/>
      <c r="W977" s="85"/>
      <c r="X977" s="97"/>
      <c r="Y977" s="100"/>
      <c r="Z977" s="100"/>
      <c r="AA977" s="100"/>
      <c r="AB977" s="100"/>
      <c r="AC977" s="100"/>
      <c r="AD977" s="98"/>
      <c r="AE977" s="83"/>
      <c r="AF977" s="84"/>
      <c r="AG977" s="85"/>
      <c r="AH977" s="83"/>
      <c r="AI977" s="84"/>
      <c r="AJ977" s="84"/>
      <c r="AK977" s="85"/>
      <c r="AL977" s="83"/>
      <c r="AM977" s="84"/>
      <c r="AN977" s="85"/>
      <c r="AO977" s="60"/>
      <c r="AP977" s="61"/>
      <c r="AQ977" s="77">
        <f t="shared" si="31"/>
        <v>0</v>
      </c>
      <c r="AR977" s="37"/>
      <c r="AS977" s="78">
        <f t="shared" si="32"/>
        <v>0</v>
      </c>
      <c r="AT977" s="37"/>
      <c r="AU977" s="37"/>
      <c r="AV977" s="37"/>
      <c r="AW977" s="37"/>
      <c r="AX977" s="37"/>
    </row>
    <row r="978" spans="1:50" ht="20.100000000000001" customHeight="1" x14ac:dyDescent="0.25">
      <c r="A978" s="37"/>
      <c r="B978" s="58"/>
      <c r="C978" s="37"/>
      <c r="D978" s="97"/>
      <c r="E978" s="98"/>
      <c r="F978" s="101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3"/>
      <c r="T978" s="83"/>
      <c r="U978" s="85"/>
      <c r="V978" s="83"/>
      <c r="W978" s="85"/>
      <c r="X978" s="97"/>
      <c r="Y978" s="100"/>
      <c r="Z978" s="100"/>
      <c r="AA978" s="100"/>
      <c r="AB978" s="100"/>
      <c r="AC978" s="100"/>
      <c r="AD978" s="98"/>
      <c r="AE978" s="83"/>
      <c r="AF978" s="84"/>
      <c r="AG978" s="85"/>
      <c r="AH978" s="83"/>
      <c r="AI978" s="84"/>
      <c r="AJ978" s="84"/>
      <c r="AK978" s="85"/>
      <c r="AL978" s="83"/>
      <c r="AM978" s="84"/>
      <c r="AN978" s="85"/>
      <c r="AO978" s="60"/>
      <c r="AP978" s="61"/>
      <c r="AQ978" s="77">
        <f t="shared" si="31"/>
        <v>0</v>
      </c>
      <c r="AR978" s="37"/>
      <c r="AS978" s="78">
        <f t="shared" si="32"/>
        <v>0</v>
      </c>
      <c r="AT978" s="37"/>
      <c r="AU978" s="37"/>
      <c r="AV978" s="37"/>
      <c r="AW978" s="37"/>
      <c r="AX978" s="37"/>
    </row>
    <row r="979" spans="1:50" ht="20.100000000000001" customHeight="1" x14ac:dyDescent="0.25">
      <c r="A979" s="37"/>
      <c r="B979" s="58"/>
      <c r="C979" s="37"/>
      <c r="D979" s="97"/>
      <c r="E979" s="98"/>
      <c r="F979" s="101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3"/>
      <c r="T979" s="83"/>
      <c r="U979" s="85"/>
      <c r="V979" s="83"/>
      <c r="W979" s="85"/>
      <c r="X979" s="97"/>
      <c r="Y979" s="100"/>
      <c r="Z979" s="100"/>
      <c r="AA979" s="100"/>
      <c r="AB979" s="100"/>
      <c r="AC979" s="100"/>
      <c r="AD979" s="98"/>
      <c r="AE979" s="83"/>
      <c r="AF979" s="84"/>
      <c r="AG979" s="85"/>
      <c r="AH979" s="83"/>
      <c r="AI979" s="84"/>
      <c r="AJ979" s="84"/>
      <c r="AK979" s="85"/>
      <c r="AL979" s="83"/>
      <c r="AM979" s="84"/>
      <c r="AN979" s="85"/>
      <c r="AO979" s="60"/>
      <c r="AP979" s="61"/>
      <c r="AQ979" s="77">
        <f t="shared" si="31"/>
        <v>0</v>
      </c>
      <c r="AR979" s="37"/>
      <c r="AS979" s="78">
        <f t="shared" si="32"/>
        <v>0</v>
      </c>
      <c r="AT979" s="37"/>
      <c r="AU979" s="37"/>
      <c r="AV979" s="37"/>
      <c r="AW979" s="37"/>
      <c r="AX979" s="37"/>
    </row>
    <row r="980" spans="1:50" ht="20.100000000000001" customHeight="1" x14ac:dyDescent="0.25">
      <c r="A980" s="37"/>
      <c r="B980" s="58"/>
      <c r="C980" s="37"/>
      <c r="D980" s="97"/>
      <c r="E980" s="98"/>
      <c r="F980" s="101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3"/>
      <c r="T980" s="83"/>
      <c r="U980" s="85"/>
      <c r="V980" s="83"/>
      <c r="W980" s="85"/>
      <c r="X980" s="97"/>
      <c r="Y980" s="100"/>
      <c r="Z980" s="100"/>
      <c r="AA980" s="100"/>
      <c r="AB980" s="100"/>
      <c r="AC980" s="100"/>
      <c r="AD980" s="98"/>
      <c r="AE980" s="83"/>
      <c r="AF980" s="84"/>
      <c r="AG980" s="85"/>
      <c r="AH980" s="83"/>
      <c r="AI980" s="84"/>
      <c r="AJ980" s="84"/>
      <c r="AK980" s="85"/>
      <c r="AL980" s="83"/>
      <c r="AM980" s="84"/>
      <c r="AN980" s="85"/>
      <c r="AO980" s="60"/>
      <c r="AP980" s="61"/>
      <c r="AQ980" s="77">
        <f t="shared" si="31"/>
        <v>0</v>
      </c>
      <c r="AR980" s="37"/>
      <c r="AS980" s="78">
        <f t="shared" si="32"/>
        <v>0</v>
      </c>
      <c r="AT980" s="37"/>
      <c r="AU980" s="37"/>
      <c r="AV980" s="37"/>
      <c r="AW980" s="37"/>
      <c r="AX980" s="37"/>
    </row>
    <row r="981" spans="1:50" ht="20.100000000000001" customHeight="1" x14ac:dyDescent="0.25">
      <c r="A981" s="37"/>
      <c r="B981" s="58"/>
      <c r="C981" s="37"/>
      <c r="D981" s="97"/>
      <c r="E981" s="98"/>
      <c r="F981" s="101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3"/>
      <c r="T981" s="83"/>
      <c r="U981" s="85"/>
      <c r="V981" s="83"/>
      <c r="W981" s="85"/>
      <c r="X981" s="97"/>
      <c r="Y981" s="100"/>
      <c r="Z981" s="100"/>
      <c r="AA981" s="100"/>
      <c r="AB981" s="100"/>
      <c r="AC981" s="100"/>
      <c r="AD981" s="98"/>
      <c r="AE981" s="83"/>
      <c r="AF981" s="84"/>
      <c r="AG981" s="85"/>
      <c r="AH981" s="83"/>
      <c r="AI981" s="84"/>
      <c r="AJ981" s="84"/>
      <c r="AK981" s="85"/>
      <c r="AL981" s="83"/>
      <c r="AM981" s="84"/>
      <c r="AN981" s="85"/>
      <c r="AO981" s="60"/>
      <c r="AP981" s="61"/>
      <c r="AQ981" s="77">
        <f t="shared" si="31"/>
        <v>0</v>
      </c>
      <c r="AR981" s="37"/>
      <c r="AS981" s="78">
        <f t="shared" si="32"/>
        <v>0</v>
      </c>
      <c r="AT981" s="37"/>
      <c r="AU981" s="37"/>
      <c r="AV981" s="37"/>
      <c r="AW981" s="37"/>
      <c r="AX981" s="37"/>
    </row>
    <row r="982" spans="1:50" ht="20.100000000000001" customHeight="1" x14ac:dyDescent="0.25">
      <c r="A982" s="37"/>
      <c r="B982" s="58"/>
      <c r="C982" s="37"/>
      <c r="D982" s="97"/>
      <c r="E982" s="98"/>
      <c r="F982" s="101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3"/>
      <c r="T982" s="83"/>
      <c r="U982" s="85"/>
      <c r="V982" s="83"/>
      <c r="W982" s="85"/>
      <c r="X982" s="97"/>
      <c r="Y982" s="100"/>
      <c r="Z982" s="100"/>
      <c r="AA982" s="100"/>
      <c r="AB982" s="100"/>
      <c r="AC982" s="100"/>
      <c r="AD982" s="98"/>
      <c r="AE982" s="83"/>
      <c r="AF982" s="84"/>
      <c r="AG982" s="85"/>
      <c r="AH982" s="83"/>
      <c r="AI982" s="84"/>
      <c r="AJ982" s="84"/>
      <c r="AK982" s="85"/>
      <c r="AL982" s="83"/>
      <c r="AM982" s="84"/>
      <c r="AN982" s="85"/>
      <c r="AO982" s="60"/>
      <c r="AP982" s="61"/>
      <c r="AQ982" s="77">
        <f t="shared" si="31"/>
        <v>0</v>
      </c>
      <c r="AR982" s="37"/>
      <c r="AS982" s="78">
        <f t="shared" si="32"/>
        <v>0</v>
      </c>
      <c r="AT982" s="37"/>
      <c r="AU982" s="37"/>
      <c r="AV982" s="37"/>
      <c r="AW982" s="37"/>
      <c r="AX982" s="37"/>
    </row>
    <row r="983" spans="1:50" ht="20.100000000000001" customHeight="1" x14ac:dyDescent="0.25">
      <c r="A983" s="37"/>
      <c r="B983" s="58"/>
      <c r="C983" s="37"/>
      <c r="D983" s="97"/>
      <c r="E983" s="98"/>
      <c r="F983" s="101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3"/>
      <c r="T983" s="83"/>
      <c r="U983" s="85"/>
      <c r="V983" s="83"/>
      <c r="W983" s="85"/>
      <c r="X983" s="97"/>
      <c r="Y983" s="100"/>
      <c r="Z983" s="100"/>
      <c r="AA983" s="100"/>
      <c r="AB983" s="100"/>
      <c r="AC983" s="100"/>
      <c r="AD983" s="98"/>
      <c r="AE983" s="83"/>
      <c r="AF983" s="84"/>
      <c r="AG983" s="85"/>
      <c r="AH983" s="83"/>
      <c r="AI983" s="84"/>
      <c r="AJ983" s="84"/>
      <c r="AK983" s="85"/>
      <c r="AL983" s="83"/>
      <c r="AM983" s="84"/>
      <c r="AN983" s="85"/>
      <c r="AO983" s="60"/>
      <c r="AP983" s="61"/>
      <c r="AQ983" s="77">
        <f t="shared" si="31"/>
        <v>0</v>
      </c>
      <c r="AR983" s="37"/>
      <c r="AS983" s="78">
        <f t="shared" si="32"/>
        <v>0</v>
      </c>
      <c r="AT983" s="37"/>
      <c r="AU983" s="37"/>
      <c r="AV983" s="37"/>
      <c r="AW983" s="37"/>
      <c r="AX983" s="37"/>
    </row>
    <row r="984" spans="1:50" ht="20.100000000000001" customHeight="1" x14ac:dyDescent="0.25">
      <c r="A984" s="37"/>
      <c r="B984" s="58"/>
      <c r="C984" s="37"/>
      <c r="D984" s="97"/>
      <c r="E984" s="98"/>
      <c r="F984" s="101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3"/>
      <c r="T984" s="83"/>
      <c r="U984" s="85"/>
      <c r="V984" s="83"/>
      <c r="W984" s="85"/>
      <c r="X984" s="97"/>
      <c r="Y984" s="100"/>
      <c r="Z984" s="100"/>
      <c r="AA984" s="100"/>
      <c r="AB984" s="100"/>
      <c r="AC984" s="100"/>
      <c r="AD984" s="98"/>
      <c r="AE984" s="83"/>
      <c r="AF984" s="84"/>
      <c r="AG984" s="85"/>
      <c r="AH984" s="83"/>
      <c r="AI984" s="84"/>
      <c r="AJ984" s="84"/>
      <c r="AK984" s="85"/>
      <c r="AL984" s="83"/>
      <c r="AM984" s="84"/>
      <c r="AN984" s="85"/>
      <c r="AO984" s="60"/>
      <c r="AP984" s="61"/>
      <c r="AQ984" s="77">
        <f t="shared" si="31"/>
        <v>0</v>
      </c>
      <c r="AR984" s="37"/>
      <c r="AS984" s="78">
        <f t="shared" si="32"/>
        <v>0</v>
      </c>
      <c r="AT984" s="37"/>
      <c r="AU984" s="37"/>
      <c r="AV984" s="37"/>
      <c r="AW984" s="37"/>
      <c r="AX984" s="37"/>
    </row>
    <row r="985" spans="1:50" ht="20.100000000000001" customHeight="1" x14ac:dyDescent="0.25">
      <c r="A985" s="37"/>
      <c r="B985" s="58"/>
      <c r="C985" s="37"/>
      <c r="D985" s="97"/>
      <c r="E985" s="98"/>
      <c r="F985" s="101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3"/>
      <c r="T985" s="83"/>
      <c r="U985" s="85"/>
      <c r="V985" s="83"/>
      <c r="W985" s="85"/>
      <c r="X985" s="97"/>
      <c r="Y985" s="100"/>
      <c r="Z985" s="100"/>
      <c r="AA985" s="100"/>
      <c r="AB985" s="100"/>
      <c r="AC985" s="100"/>
      <c r="AD985" s="98"/>
      <c r="AE985" s="83"/>
      <c r="AF985" s="84"/>
      <c r="AG985" s="85"/>
      <c r="AH985" s="83"/>
      <c r="AI985" s="84"/>
      <c r="AJ985" s="84"/>
      <c r="AK985" s="85"/>
      <c r="AL985" s="83"/>
      <c r="AM985" s="84"/>
      <c r="AN985" s="85"/>
      <c r="AO985" s="60"/>
      <c r="AP985" s="61"/>
      <c r="AQ985" s="77">
        <f t="shared" si="31"/>
        <v>0</v>
      </c>
      <c r="AR985" s="37"/>
      <c r="AS985" s="78">
        <f t="shared" si="32"/>
        <v>0</v>
      </c>
      <c r="AT985" s="37"/>
      <c r="AU985" s="37"/>
      <c r="AV985" s="37"/>
      <c r="AW985" s="37"/>
      <c r="AX985" s="37"/>
    </row>
    <row r="986" spans="1:50" ht="20.100000000000001" customHeight="1" x14ac:dyDescent="0.25">
      <c r="A986" s="37"/>
      <c r="B986" s="58"/>
      <c r="C986" s="37"/>
      <c r="D986" s="97"/>
      <c r="E986" s="98"/>
      <c r="F986" s="101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3"/>
      <c r="T986" s="83"/>
      <c r="U986" s="85"/>
      <c r="V986" s="83"/>
      <c r="W986" s="85"/>
      <c r="X986" s="97"/>
      <c r="Y986" s="100"/>
      <c r="Z986" s="100"/>
      <c r="AA986" s="100"/>
      <c r="AB986" s="100"/>
      <c r="AC986" s="100"/>
      <c r="AD986" s="98"/>
      <c r="AE986" s="83"/>
      <c r="AF986" s="84"/>
      <c r="AG986" s="85"/>
      <c r="AH986" s="83"/>
      <c r="AI986" s="84"/>
      <c r="AJ986" s="84"/>
      <c r="AK986" s="85"/>
      <c r="AL986" s="83"/>
      <c r="AM986" s="84"/>
      <c r="AN986" s="85"/>
      <c r="AO986" s="60"/>
      <c r="AP986" s="61"/>
      <c r="AQ986" s="77">
        <f t="shared" si="31"/>
        <v>0</v>
      </c>
      <c r="AR986" s="37"/>
      <c r="AS986" s="78">
        <f t="shared" si="32"/>
        <v>0</v>
      </c>
      <c r="AT986" s="37"/>
      <c r="AU986" s="37"/>
      <c r="AV986" s="37"/>
      <c r="AW986" s="37"/>
      <c r="AX986" s="37"/>
    </row>
    <row r="987" spans="1:50" ht="20.100000000000001" customHeight="1" x14ac:dyDescent="0.25">
      <c r="A987" s="37"/>
      <c r="B987" s="58"/>
      <c r="C987" s="37"/>
      <c r="D987" s="97"/>
      <c r="E987" s="98"/>
      <c r="F987" s="101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3"/>
      <c r="T987" s="83"/>
      <c r="U987" s="85"/>
      <c r="V987" s="83"/>
      <c r="W987" s="85"/>
      <c r="X987" s="97"/>
      <c r="Y987" s="100"/>
      <c r="Z987" s="100"/>
      <c r="AA987" s="100"/>
      <c r="AB987" s="100"/>
      <c r="AC987" s="100"/>
      <c r="AD987" s="98"/>
      <c r="AE987" s="83"/>
      <c r="AF987" s="84"/>
      <c r="AG987" s="85"/>
      <c r="AH987" s="83"/>
      <c r="AI987" s="84"/>
      <c r="AJ987" s="84"/>
      <c r="AK987" s="85"/>
      <c r="AL987" s="83"/>
      <c r="AM987" s="84"/>
      <c r="AN987" s="85"/>
      <c r="AO987" s="60"/>
      <c r="AP987" s="61"/>
      <c r="AQ987" s="77">
        <f t="shared" si="31"/>
        <v>0</v>
      </c>
      <c r="AR987" s="37"/>
      <c r="AS987" s="78">
        <f t="shared" si="32"/>
        <v>0</v>
      </c>
      <c r="AT987" s="37"/>
      <c r="AU987" s="37"/>
      <c r="AV987" s="37"/>
      <c r="AW987" s="37"/>
      <c r="AX987" s="37"/>
    </row>
    <row r="988" spans="1:50" ht="20.100000000000001" customHeight="1" x14ac:dyDescent="0.25">
      <c r="A988" s="37"/>
      <c r="B988" s="58"/>
      <c r="C988" s="37"/>
      <c r="D988" s="97"/>
      <c r="E988" s="98"/>
      <c r="F988" s="101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3"/>
      <c r="T988" s="83"/>
      <c r="U988" s="85"/>
      <c r="V988" s="83"/>
      <c r="W988" s="85"/>
      <c r="X988" s="97"/>
      <c r="Y988" s="100"/>
      <c r="Z988" s="100"/>
      <c r="AA988" s="100"/>
      <c r="AB988" s="100"/>
      <c r="AC988" s="100"/>
      <c r="AD988" s="98"/>
      <c r="AE988" s="83"/>
      <c r="AF988" s="84"/>
      <c r="AG988" s="85"/>
      <c r="AH988" s="83"/>
      <c r="AI988" s="84"/>
      <c r="AJ988" s="84"/>
      <c r="AK988" s="85"/>
      <c r="AL988" s="83"/>
      <c r="AM988" s="84"/>
      <c r="AN988" s="85"/>
      <c r="AO988" s="60"/>
      <c r="AP988" s="61"/>
      <c r="AQ988" s="77">
        <f t="shared" si="31"/>
        <v>0</v>
      </c>
      <c r="AR988" s="37"/>
      <c r="AS988" s="78">
        <f t="shared" si="32"/>
        <v>0</v>
      </c>
      <c r="AT988" s="37"/>
      <c r="AU988" s="37"/>
      <c r="AV988" s="37"/>
      <c r="AW988" s="37"/>
      <c r="AX988" s="37"/>
    </row>
    <row r="989" spans="1:50" ht="20.100000000000001" customHeight="1" x14ac:dyDescent="0.25">
      <c r="A989" s="37"/>
      <c r="B989" s="58"/>
      <c r="C989" s="37"/>
      <c r="D989" s="97"/>
      <c r="E989" s="98"/>
      <c r="F989" s="101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3"/>
      <c r="T989" s="83"/>
      <c r="U989" s="85"/>
      <c r="V989" s="83"/>
      <c r="W989" s="85"/>
      <c r="X989" s="97"/>
      <c r="Y989" s="100"/>
      <c r="Z989" s="100"/>
      <c r="AA989" s="100"/>
      <c r="AB989" s="100"/>
      <c r="AC989" s="100"/>
      <c r="AD989" s="98"/>
      <c r="AE989" s="83"/>
      <c r="AF989" s="84"/>
      <c r="AG989" s="85"/>
      <c r="AH989" s="83"/>
      <c r="AI989" s="84"/>
      <c r="AJ989" s="84"/>
      <c r="AK989" s="85"/>
      <c r="AL989" s="83"/>
      <c r="AM989" s="84"/>
      <c r="AN989" s="85"/>
      <c r="AO989" s="60"/>
      <c r="AP989" s="61"/>
      <c r="AQ989" s="77">
        <f t="shared" si="31"/>
        <v>0</v>
      </c>
      <c r="AR989" s="37"/>
      <c r="AS989" s="78">
        <f t="shared" si="32"/>
        <v>0</v>
      </c>
      <c r="AT989" s="37"/>
      <c r="AU989" s="37"/>
      <c r="AV989" s="37"/>
      <c r="AW989" s="37"/>
      <c r="AX989" s="37"/>
    </row>
    <row r="990" spans="1:50" ht="20.100000000000001" customHeight="1" x14ac:dyDescent="0.25">
      <c r="A990" s="37"/>
      <c r="B990" s="58"/>
      <c r="C990" s="37"/>
      <c r="D990" s="97"/>
      <c r="E990" s="98"/>
      <c r="F990" s="101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3"/>
      <c r="T990" s="83"/>
      <c r="U990" s="85"/>
      <c r="V990" s="83"/>
      <c r="W990" s="85"/>
      <c r="X990" s="97"/>
      <c r="Y990" s="100"/>
      <c r="Z990" s="100"/>
      <c r="AA990" s="100"/>
      <c r="AB990" s="100"/>
      <c r="AC990" s="100"/>
      <c r="AD990" s="98"/>
      <c r="AE990" s="83"/>
      <c r="AF990" s="84"/>
      <c r="AG990" s="85"/>
      <c r="AH990" s="83"/>
      <c r="AI990" s="84"/>
      <c r="AJ990" s="84"/>
      <c r="AK990" s="85"/>
      <c r="AL990" s="83"/>
      <c r="AM990" s="84"/>
      <c r="AN990" s="85"/>
      <c r="AO990" s="60"/>
      <c r="AP990" s="61"/>
      <c r="AQ990" s="77">
        <f t="shared" si="31"/>
        <v>0</v>
      </c>
      <c r="AR990" s="37"/>
      <c r="AS990" s="78">
        <f t="shared" si="32"/>
        <v>0</v>
      </c>
      <c r="AT990" s="37"/>
      <c r="AU990" s="37"/>
      <c r="AV990" s="37"/>
      <c r="AW990" s="37"/>
      <c r="AX990" s="37"/>
    </row>
    <row r="991" spans="1:50" ht="20.100000000000001" customHeight="1" x14ac:dyDescent="0.25">
      <c r="A991" s="37"/>
      <c r="B991" s="58"/>
      <c r="C991" s="37"/>
      <c r="D991" s="97"/>
      <c r="E991" s="98"/>
      <c r="F991" s="101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3"/>
      <c r="T991" s="83"/>
      <c r="U991" s="85"/>
      <c r="V991" s="83"/>
      <c r="W991" s="85"/>
      <c r="X991" s="97"/>
      <c r="Y991" s="100"/>
      <c r="Z991" s="100"/>
      <c r="AA991" s="100"/>
      <c r="AB991" s="100"/>
      <c r="AC991" s="100"/>
      <c r="AD991" s="98"/>
      <c r="AE991" s="83"/>
      <c r="AF991" s="84"/>
      <c r="AG991" s="85"/>
      <c r="AH991" s="83"/>
      <c r="AI991" s="84"/>
      <c r="AJ991" s="84"/>
      <c r="AK991" s="85"/>
      <c r="AL991" s="83"/>
      <c r="AM991" s="84"/>
      <c r="AN991" s="85"/>
      <c r="AO991" s="60"/>
      <c r="AP991" s="61"/>
      <c r="AQ991" s="77">
        <f t="shared" si="31"/>
        <v>0</v>
      </c>
      <c r="AR991" s="37"/>
      <c r="AS991" s="78">
        <f t="shared" si="32"/>
        <v>0</v>
      </c>
      <c r="AT991" s="37"/>
      <c r="AU991" s="37"/>
      <c r="AV991" s="37"/>
      <c r="AW991" s="37"/>
      <c r="AX991" s="37"/>
    </row>
    <row r="992" spans="1:50" ht="20.100000000000001" customHeight="1" x14ac:dyDescent="0.25">
      <c r="A992" s="37"/>
      <c r="B992" s="58"/>
      <c r="C992" s="37"/>
      <c r="D992" s="97"/>
      <c r="E992" s="98"/>
      <c r="F992" s="101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3"/>
      <c r="T992" s="83"/>
      <c r="U992" s="85"/>
      <c r="V992" s="83"/>
      <c r="W992" s="85"/>
      <c r="X992" s="97"/>
      <c r="Y992" s="100"/>
      <c r="Z992" s="100"/>
      <c r="AA992" s="100"/>
      <c r="AB992" s="100"/>
      <c r="AC992" s="100"/>
      <c r="AD992" s="98"/>
      <c r="AE992" s="83"/>
      <c r="AF992" s="84"/>
      <c r="AG992" s="85"/>
      <c r="AH992" s="83"/>
      <c r="AI992" s="84"/>
      <c r="AJ992" s="84"/>
      <c r="AK992" s="85"/>
      <c r="AL992" s="83"/>
      <c r="AM992" s="84"/>
      <c r="AN992" s="85"/>
      <c r="AO992" s="60"/>
      <c r="AP992" s="61"/>
      <c r="AQ992" s="77">
        <f t="shared" si="31"/>
        <v>0</v>
      </c>
      <c r="AR992" s="37"/>
      <c r="AS992" s="78">
        <f t="shared" si="32"/>
        <v>0</v>
      </c>
      <c r="AT992" s="37"/>
      <c r="AU992" s="37"/>
      <c r="AV992" s="37"/>
      <c r="AW992" s="37"/>
      <c r="AX992" s="37"/>
    </row>
    <row r="993" spans="1:50" ht="20.100000000000001" customHeight="1" x14ac:dyDescent="0.25">
      <c r="A993" s="37"/>
      <c r="B993" s="58"/>
      <c r="C993" s="37"/>
      <c r="D993" s="97"/>
      <c r="E993" s="98"/>
      <c r="F993" s="101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3"/>
      <c r="T993" s="83"/>
      <c r="U993" s="85"/>
      <c r="V993" s="83"/>
      <c r="W993" s="85"/>
      <c r="X993" s="97"/>
      <c r="Y993" s="100"/>
      <c r="Z993" s="100"/>
      <c r="AA993" s="100"/>
      <c r="AB993" s="100"/>
      <c r="AC993" s="100"/>
      <c r="AD993" s="98"/>
      <c r="AE993" s="83"/>
      <c r="AF993" s="84"/>
      <c r="AG993" s="85"/>
      <c r="AH993" s="83"/>
      <c r="AI993" s="84"/>
      <c r="AJ993" s="84"/>
      <c r="AK993" s="85"/>
      <c r="AL993" s="83"/>
      <c r="AM993" s="84"/>
      <c r="AN993" s="85"/>
      <c r="AO993" s="60"/>
      <c r="AP993" s="61"/>
      <c r="AQ993" s="77">
        <f t="shared" si="31"/>
        <v>0</v>
      </c>
      <c r="AR993" s="37"/>
      <c r="AS993" s="78">
        <f t="shared" si="32"/>
        <v>0</v>
      </c>
      <c r="AT993" s="37"/>
      <c r="AU993" s="37"/>
      <c r="AV993" s="37"/>
      <c r="AW993" s="37"/>
      <c r="AX993" s="37"/>
    </row>
    <row r="994" spans="1:50" ht="20.100000000000001" customHeight="1" x14ac:dyDescent="0.25">
      <c r="A994" s="37"/>
      <c r="B994" s="58"/>
      <c r="C994" s="37"/>
      <c r="D994" s="97"/>
      <c r="E994" s="98"/>
      <c r="F994" s="101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3"/>
      <c r="T994" s="83"/>
      <c r="U994" s="85"/>
      <c r="V994" s="83"/>
      <c r="W994" s="85"/>
      <c r="X994" s="97"/>
      <c r="Y994" s="100"/>
      <c r="Z994" s="100"/>
      <c r="AA994" s="100"/>
      <c r="AB994" s="100"/>
      <c r="AC994" s="100"/>
      <c r="AD994" s="98"/>
      <c r="AE994" s="83"/>
      <c r="AF994" s="84"/>
      <c r="AG994" s="85"/>
      <c r="AH994" s="83"/>
      <c r="AI994" s="84"/>
      <c r="AJ994" s="84"/>
      <c r="AK994" s="85"/>
      <c r="AL994" s="83"/>
      <c r="AM994" s="84"/>
      <c r="AN994" s="85"/>
      <c r="AO994" s="60"/>
      <c r="AP994" s="61"/>
      <c r="AQ994" s="77">
        <f t="shared" si="31"/>
        <v>0</v>
      </c>
      <c r="AR994" s="37"/>
      <c r="AS994" s="78">
        <f t="shared" si="32"/>
        <v>0</v>
      </c>
      <c r="AT994" s="37"/>
      <c r="AU994" s="37"/>
      <c r="AV994" s="37"/>
      <c r="AW994" s="37"/>
      <c r="AX994" s="37"/>
    </row>
    <row r="995" spans="1:50" ht="20.100000000000001" customHeight="1" x14ac:dyDescent="0.25">
      <c r="A995" s="37"/>
      <c r="B995" s="58"/>
      <c r="C995" s="37"/>
      <c r="D995" s="97"/>
      <c r="E995" s="98"/>
      <c r="F995" s="101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3"/>
      <c r="T995" s="83"/>
      <c r="U995" s="85"/>
      <c r="V995" s="83"/>
      <c r="W995" s="85"/>
      <c r="X995" s="97"/>
      <c r="Y995" s="100"/>
      <c r="Z995" s="100"/>
      <c r="AA995" s="100"/>
      <c r="AB995" s="100"/>
      <c r="AC995" s="100"/>
      <c r="AD995" s="98"/>
      <c r="AE995" s="83"/>
      <c r="AF995" s="84"/>
      <c r="AG995" s="85"/>
      <c r="AH995" s="83"/>
      <c r="AI995" s="84"/>
      <c r="AJ995" s="84"/>
      <c r="AK995" s="85"/>
      <c r="AL995" s="83"/>
      <c r="AM995" s="84"/>
      <c r="AN995" s="85"/>
      <c r="AO995" s="60"/>
      <c r="AP995" s="61"/>
      <c r="AQ995" s="77">
        <f t="shared" si="31"/>
        <v>0</v>
      </c>
      <c r="AR995" s="37"/>
      <c r="AS995" s="78">
        <f t="shared" si="32"/>
        <v>0</v>
      </c>
      <c r="AT995" s="37"/>
      <c r="AU995" s="37"/>
      <c r="AV995" s="37"/>
      <c r="AW995" s="37"/>
      <c r="AX995" s="37"/>
    </row>
    <row r="996" spans="1:50" ht="20.100000000000001" customHeight="1" x14ac:dyDescent="0.25">
      <c r="A996" s="37"/>
      <c r="B996" s="58"/>
      <c r="C996" s="37"/>
      <c r="D996" s="97"/>
      <c r="E996" s="98"/>
      <c r="F996" s="101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3"/>
      <c r="T996" s="83"/>
      <c r="U996" s="85"/>
      <c r="V996" s="83"/>
      <c r="W996" s="85"/>
      <c r="X996" s="97"/>
      <c r="Y996" s="100"/>
      <c r="Z996" s="100"/>
      <c r="AA996" s="100"/>
      <c r="AB996" s="100"/>
      <c r="AC996" s="100"/>
      <c r="AD996" s="98"/>
      <c r="AE996" s="83"/>
      <c r="AF996" s="84"/>
      <c r="AG996" s="85"/>
      <c r="AH996" s="83"/>
      <c r="AI996" s="84"/>
      <c r="AJ996" s="84"/>
      <c r="AK996" s="85"/>
      <c r="AL996" s="83"/>
      <c r="AM996" s="84"/>
      <c r="AN996" s="85"/>
      <c r="AO996" s="60"/>
      <c r="AP996" s="61"/>
      <c r="AQ996" s="77">
        <f t="shared" si="31"/>
        <v>0</v>
      </c>
      <c r="AR996" s="37"/>
      <c r="AS996" s="78">
        <f t="shared" si="32"/>
        <v>0</v>
      </c>
      <c r="AT996" s="37"/>
      <c r="AU996" s="37"/>
      <c r="AV996" s="37"/>
      <c r="AW996" s="37"/>
      <c r="AX996" s="37"/>
    </row>
    <row r="997" spans="1:50" ht="20.100000000000001" customHeight="1" x14ac:dyDescent="0.25">
      <c r="A997" s="37"/>
      <c r="B997" s="58"/>
      <c r="C997" s="37"/>
      <c r="D997" s="97"/>
      <c r="E997" s="98"/>
      <c r="F997" s="101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3"/>
      <c r="T997" s="83"/>
      <c r="U997" s="85"/>
      <c r="V997" s="83"/>
      <c r="W997" s="85"/>
      <c r="X997" s="97"/>
      <c r="Y997" s="100"/>
      <c r="Z997" s="100"/>
      <c r="AA997" s="100"/>
      <c r="AB997" s="100"/>
      <c r="AC997" s="100"/>
      <c r="AD997" s="98"/>
      <c r="AE997" s="83"/>
      <c r="AF997" s="84"/>
      <c r="AG997" s="85"/>
      <c r="AH997" s="83"/>
      <c r="AI997" s="84"/>
      <c r="AJ997" s="84"/>
      <c r="AK997" s="85"/>
      <c r="AL997" s="83"/>
      <c r="AM997" s="84"/>
      <c r="AN997" s="85"/>
      <c r="AO997" s="60"/>
      <c r="AP997" s="61"/>
      <c r="AQ997" s="77">
        <f t="shared" si="31"/>
        <v>0</v>
      </c>
      <c r="AR997" s="37"/>
      <c r="AS997" s="78">
        <f t="shared" si="32"/>
        <v>0</v>
      </c>
      <c r="AT997" s="37"/>
      <c r="AU997" s="37"/>
      <c r="AV997" s="37"/>
      <c r="AW997" s="37"/>
      <c r="AX997" s="37"/>
    </row>
    <row r="998" spans="1:50" ht="20.100000000000001" customHeight="1" x14ac:dyDescent="0.25">
      <c r="A998" s="37"/>
      <c r="B998" s="58"/>
      <c r="C998" s="37"/>
      <c r="D998" s="97"/>
      <c r="E998" s="98"/>
      <c r="F998" s="101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3"/>
      <c r="T998" s="83"/>
      <c r="U998" s="85"/>
      <c r="V998" s="83"/>
      <c r="W998" s="85"/>
      <c r="X998" s="97"/>
      <c r="Y998" s="100"/>
      <c r="Z998" s="100"/>
      <c r="AA998" s="100"/>
      <c r="AB998" s="100"/>
      <c r="AC998" s="100"/>
      <c r="AD998" s="98"/>
      <c r="AE998" s="83"/>
      <c r="AF998" s="84"/>
      <c r="AG998" s="85"/>
      <c r="AH998" s="83"/>
      <c r="AI998" s="84"/>
      <c r="AJ998" s="84"/>
      <c r="AK998" s="85"/>
      <c r="AL998" s="83"/>
      <c r="AM998" s="84"/>
      <c r="AN998" s="85"/>
      <c r="AO998" s="60"/>
      <c r="AP998" s="61"/>
      <c r="AQ998" s="77">
        <f t="shared" si="31"/>
        <v>0</v>
      </c>
      <c r="AR998" s="37"/>
      <c r="AS998" s="78">
        <f t="shared" si="32"/>
        <v>0</v>
      </c>
      <c r="AT998" s="37"/>
      <c r="AU998" s="37"/>
      <c r="AV998" s="37"/>
      <c r="AW998" s="37"/>
      <c r="AX998" s="37"/>
    </row>
  </sheetData>
  <protectedRanges>
    <protectedRange sqref="F6:S998" name="Range1"/>
  </protectedRanges>
  <autoFilter ref="B5:AX998" xr:uid="{00000000-0001-0000-0100-000000000000}"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20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2" showButton="0"/>
    <filterColumn colId="33" showButton="0"/>
    <filterColumn colId="34" showButton="0"/>
    <filterColumn colId="36" showButton="0"/>
    <filterColumn colId="37" showButton="0"/>
  </autoFilter>
  <mergeCells count="7955">
    <mergeCell ref="AL994:AN994"/>
    <mergeCell ref="AL995:AN995"/>
    <mergeCell ref="AL996:AN996"/>
    <mergeCell ref="AL997:AN997"/>
    <mergeCell ref="AL998:AN998"/>
    <mergeCell ref="AL989:AN989"/>
    <mergeCell ref="AL990:AN990"/>
    <mergeCell ref="AL991:AN991"/>
    <mergeCell ref="AL992:AN992"/>
    <mergeCell ref="AL993:AN993"/>
    <mergeCell ref="AL984:AN984"/>
    <mergeCell ref="AL985:AN985"/>
    <mergeCell ref="AL986:AN986"/>
    <mergeCell ref="AL987:AN987"/>
    <mergeCell ref="AL988:AN988"/>
    <mergeCell ref="AL979:AN979"/>
    <mergeCell ref="AL980:AN980"/>
    <mergeCell ref="AL981:AN981"/>
    <mergeCell ref="AL982:AN982"/>
    <mergeCell ref="AL983:AN983"/>
    <mergeCell ref="AL974:AN974"/>
    <mergeCell ref="AL975:AN975"/>
    <mergeCell ref="AL976:AN976"/>
    <mergeCell ref="AL977:AN977"/>
    <mergeCell ref="AL978:AN978"/>
    <mergeCell ref="AL969:AN969"/>
    <mergeCell ref="AL970:AN970"/>
    <mergeCell ref="AL971:AN971"/>
    <mergeCell ref="AL972:AN972"/>
    <mergeCell ref="AL973:AN973"/>
    <mergeCell ref="AL964:AN964"/>
    <mergeCell ref="AL965:AN965"/>
    <mergeCell ref="AL966:AN966"/>
    <mergeCell ref="AL967:AN967"/>
    <mergeCell ref="AL968:AN968"/>
    <mergeCell ref="AL959:AN959"/>
    <mergeCell ref="AL960:AN960"/>
    <mergeCell ref="AL961:AN961"/>
    <mergeCell ref="AL962:AN962"/>
    <mergeCell ref="AL963:AN963"/>
    <mergeCell ref="AL954:AN954"/>
    <mergeCell ref="AL955:AN955"/>
    <mergeCell ref="AL956:AN956"/>
    <mergeCell ref="AL957:AN957"/>
    <mergeCell ref="AL958:AN958"/>
    <mergeCell ref="AL949:AN949"/>
    <mergeCell ref="AL950:AN950"/>
    <mergeCell ref="AL951:AN951"/>
    <mergeCell ref="AL952:AN952"/>
    <mergeCell ref="AL953:AN953"/>
    <mergeCell ref="AL944:AN944"/>
    <mergeCell ref="AL945:AN945"/>
    <mergeCell ref="AL946:AN946"/>
    <mergeCell ref="AL947:AN947"/>
    <mergeCell ref="AL948:AN948"/>
    <mergeCell ref="AL939:AN939"/>
    <mergeCell ref="AL940:AN940"/>
    <mergeCell ref="AL941:AN941"/>
    <mergeCell ref="AL942:AN942"/>
    <mergeCell ref="AL943:AN943"/>
    <mergeCell ref="AL934:AN934"/>
    <mergeCell ref="AL935:AN935"/>
    <mergeCell ref="AL936:AN936"/>
    <mergeCell ref="AL937:AN937"/>
    <mergeCell ref="AL938:AN938"/>
    <mergeCell ref="AL929:AN929"/>
    <mergeCell ref="AL930:AN930"/>
    <mergeCell ref="AL931:AN931"/>
    <mergeCell ref="AL932:AN932"/>
    <mergeCell ref="AL933:AN933"/>
    <mergeCell ref="AL924:AN924"/>
    <mergeCell ref="AL925:AN925"/>
    <mergeCell ref="AL926:AN926"/>
    <mergeCell ref="AL927:AN927"/>
    <mergeCell ref="AL928:AN928"/>
    <mergeCell ref="AL919:AN919"/>
    <mergeCell ref="AL920:AN920"/>
    <mergeCell ref="AL921:AN921"/>
    <mergeCell ref="AL922:AN922"/>
    <mergeCell ref="AL923:AN923"/>
    <mergeCell ref="AL914:AN914"/>
    <mergeCell ref="AL915:AN915"/>
    <mergeCell ref="AL916:AN916"/>
    <mergeCell ref="AL917:AN917"/>
    <mergeCell ref="AL918:AN918"/>
    <mergeCell ref="AL909:AN909"/>
    <mergeCell ref="AL910:AN910"/>
    <mergeCell ref="AL911:AN911"/>
    <mergeCell ref="AL912:AN912"/>
    <mergeCell ref="AL913:AN913"/>
    <mergeCell ref="AL904:AN904"/>
    <mergeCell ref="AL905:AN905"/>
    <mergeCell ref="AL906:AN906"/>
    <mergeCell ref="AL907:AN907"/>
    <mergeCell ref="AL908:AN908"/>
    <mergeCell ref="AL899:AN899"/>
    <mergeCell ref="AL900:AN900"/>
    <mergeCell ref="AL901:AN901"/>
    <mergeCell ref="AL902:AN902"/>
    <mergeCell ref="AL903:AN903"/>
    <mergeCell ref="AL894:AN894"/>
    <mergeCell ref="AL895:AN895"/>
    <mergeCell ref="AL896:AN896"/>
    <mergeCell ref="AL897:AN897"/>
    <mergeCell ref="AL898:AN898"/>
    <mergeCell ref="AL889:AN889"/>
    <mergeCell ref="AL890:AN890"/>
    <mergeCell ref="AL891:AN891"/>
    <mergeCell ref="AL892:AN892"/>
    <mergeCell ref="AL893:AN893"/>
    <mergeCell ref="AL884:AN884"/>
    <mergeCell ref="AL885:AN885"/>
    <mergeCell ref="AL886:AN886"/>
    <mergeCell ref="AL887:AN887"/>
    <mergeCell ref="AL888:AN888"/>
    <mergeCell ref="AL879:AN879"/>
    <mergeCell ref="AL880:AN880"/>
    <mergeCell ref="AL881:AN881"/>
    <mergeCell ref="AL882:AN882"/>
    <mergeCell ref="AL883:AN883"/>
    <mergeCell ref="AL874:AN874"/>
    <mergeCell ref="AL875:AN875"/>
    <mergeCell ref="AL876:AN876"/>
    <mergeCell ref="AL877:AN877"/>
    <mergeCell ref="AL878:AN878"/>
    <mergeCell ref="AL869:AN869"/>
    <mergeCell ref="AL870:AN870"/>
    <mergeCell ref="AL871:AN871"/>
    <mergeCell ref="AL872:AN872"/>
    <mergeCell ref="AL873:AN873"/>
    <mergeCell ref="AL864:AN864"/>
    <mergeCell ref="AL865:AN865"/>
    <mergeCell ref="AL866:AN866"/>
    <mergeCell ref="AL867:AN867"/>
    <mergeCell ref="AL868:AN868"/>
    <mergeCell ref="AL859:AN859"/>
    <mergeCell ref="AL860:AN860"/>
    <mergeCell ref="AL861:AN861"/>
    <mergeCell ref="AL862:AN862"/>
    <mergeCell ref="AL863:AN863"/>
    <mergeCell ref="AL854:AN854"/>
    <mergeCell ref="AL855:AN855"/>
    <mergeCell ref="AL856:AN856"/>
    <mergeCell ref="AL857:AN857"/>
    <mergeCell ref="AL858:AN858"/>
    <mergeCell ref="AL849:AN849"/>
    <mergeCell ref="AL850:AN850"/>
    <mergeCell ref="AL851:AN851"/>
    <mergeCell ref="AL852:AN852"/>
    <mergeCell ref="AL853:AN853"/>
    <mergeCell ref="AL844:AN844"/>
    <mergeCell ref="AL845:AN845"/>
    <mergeCell ref="AL846:AN846"/>
    <mergeCell ref="AL847:AN847"/>
    <mergeCell ref="AL848:AN848"/>
    <mergeCell ref="AL839:AN839"/>
    <mergeCell ref="AL840:AN840"/>
    <mergeCell ref="AL841:AN841"/>
    <mergeCell ref="AL842:AN842"/>
    <mergeCell ref="AL843:AN843"/>
    <mergeCell ref="AL834:AN834"/>
    <mergeCell ref="AL835:AN835"/>
    <mergeCell ref="AL836:AN836"/>
    <mergeCell ref="AL837:AN837"/>
    <mergeCell ref="AL838:AN838"/>
    <mergeCell ref="AL829:AN829"/>
    <mergeCell ref="AL830:AN830"/>
    <mergeCell ref="AL831:AN831"/>
    <mergeCell ref="AL832:AN832"/>
    <mergeCell ref="AL833:AN833"/>
    <mergeCell ref="AL824:AN824"/>
    <mergeCell ref="AL825:AN825"/>
    <mergeCell ref="AL826:AN826"/>
    <mergeCell ref="AL827:AN827"/>
    <mergeCell ref="AL828:AN828"/>
    <mergeCell ref="AL819:AN819"/>
    <mergeCell ref="AL820:AN820"/>
    <mergeCell ref="AL821:AN821"/>
    <mergeCell ref="AL822:AN822"/>
    <mergeCell ref="AL823:AN823"/>
    <mergeCell ref="AL814:AN814"/>
    <mergeCell ref="AL815:AN815"/>
    <mergeCell ref="AL816:AN816"/>
    <mergeCell ref="AL817:AN817"/>
    <mergeCell ref="AL818:AN818"/>
    <mergeCell ref="AL809:AN809"/>
    <mergeCell ref="AL810:AN810"/>
    <mergeCell ref="AL811:AN811"/>
    <mergeCell ref="AL812:AN812"/>
    <mergeCell ref="AL813:AN813"/>
    <mergeCell ref="AL804:AN804"/>
    <mergeCell ref="AL805:AN805"/>
    <mergeCell ref="AL806:AN806"/>
    <mergeCell ref="AL807:AN807"/>
    <mergeCell ref="AL808:AN808"/>
    <mergeCell ref="AL799:AN799"/>
    <mergeCell ref="AL800:AN800"/>
    <mergeCell ref="AL801:AN801"/>
    <mergeCell ref="AL802:AN802"/>
    <mergeCell ref="AL803:AN803"/>
    <mergeCell ref="AL794:AN794"/>
    <mergeCell ref="AL795:AN795"/>
    <mergeCell ref="AL796:AN796"/>
    <mergeCell ref="AL797:AN797"/>
    <mergeCell ref="AL798:AN798"/>
    <mergeCell ref="AL789:AN789"/>
    <mergeCell ref="AL790:AN790"/>
    <mergeCell ref="AL791:AN791"/>
    <mergeCell ref="AL792:AN792"/>
    <mergeCell ref="AL793:AN793"/>
    <mergeCell ref="AL784:AN784"/>
    <mergeCell ref="AL785:AN785"/>
    <mergeCell ref="AL786:AN786"/>
    <mergeCell ref="AL787:AN787"/>
    <mergeCell ref="AL788:AN788"/>
    <mergeCell ref="AL779:AN779"/>
    <mergeCell ref="AL780:AN780"/>
    <mergeCell ref="AL781:AN781"/>
    <mergeCell ref="AL782:AN782"/>
    <mergeCell ref="AL783:AN783"/>
    <mergeCell ref="AL774:AN774"/>
    <mergeCell ref="AL775:AN775"/>
    <mergeCell ref="AL776:AN776"/>
    <mergeCell ref="AL777:AN777"/>
    <mergeCell ref="AL778:AN778"/>
    <mergeCell ref="AL769:AN769"/>
    <mergeCell ref="AL770:AN770"/>
    <mergeCell ref="AL771:AN771"/>
    <mergeCell ref="AL772:AN772"/>
    <mergeCell ref="AL773:AN773"/>
    <mergeCell ref="AL764:AN764"/>
    <mergeCell ref="AL765:AN765"/>
    <mergeCell ref="AL766:AN766"/>
    <mergeCell ref="AL767:AN767"/>
    <mergeCell ref="AL768:AN768"/>
    <mergeCell ref="AL759:AN759"/>
    <mergeCell ref="AL760:AN760"/>
    <mergeCell ref="AL761:AN761"/>
    <mergeCell ref="AL762:AN762"/>
    <mergeCell ref="AL763:AN763"/>
    <mergeCell ref="AL754:AN754"/>
    <mergeCell ref="AL755:AN755"/>
    <mergeCell ref="AL756:AN756"/>
    <mergeCell ref="AL757:AN757"/>
    <mergeCell ref="AL758:AN758"/>
    <mergeCell ref="AL749:AN749"/>
    <mergeCell ref="AL750:AN750"/>
    <mergeCell ref="AL751:AN751"/>
    <mergeCell ref="AL752:AN752"/>
    <mergeCell ref="AL753:AN753"/>
    <mergeCell ref="AL744:AN744"/>
    <mergeCell ref="AL745:AN745"/>
    <mergeCell ref="AL746:AN746"/>
    <mergeCell ref="AL747:AN747"/>
    <mergeCell ref="AL748:AN748"/>
    <mergeCell ref="AL739:AN739"/>
    <mergeCell ref="AL740:AN740"/>
    <mergeCell ref="AL741:AN741"/>
    <mergeCell ref="AL742:AN742"/>
    <mergeCell ref="AL743:AN743"/>
    <mergeCell ref="AL734:AN734"/>
    <mergeCell ref="AL735:AN735"/>
    <mergeCell ref="AL736:AN736"/>
    <mergeCell ref="AL737:AN737"/>
    <mergeCell ref="AL738:AN738"/>
    <mergeCell ref="AL729:AN729"/>
    <mergeCell ref="AL730:AN730"/>
    <mergeCell ref="AL731:AN731"/>
    <mergeCell ref="AL732:AN732"/>
    <mergeCell ref="AL733:AN733"/>
    <mergeCell ref="AL724:AN724"/>
    <mergeCell ref="AL725:AN725"/>
    <mergeCell ref="AL726:AN726"/>
    <mergeCell ref="AL727:AN727"/>
    <mergeCell ref="AL728:AN728"/>
    <mergeCell ref="AL719:AN719"/>
    <mergeCell ref="AL720:AN720"/>
    <mergeCell ref="AL721:AN721"/>
    <mergeCell ref="AL722:AN722"/>
    <mergeCell ref="AL723:AN723"/>
    <mergeCell ref="AL714:AN714"/>
    <mergeCell ref="AL715:AN715"/>
    <mergeCell ref="AL716:AN716"/>
    <mergeCell ref="AL717:AN717"/>
    <mergeCell ref="AL718:AN718"/>
    <mergeCell ref="AL709:AN709"/>
    <mergeCell ref="AL710:AN710"/>
    <mergeCell ref="AL711:AN711"/>
    <mergeCell ref="AL712:AN712"/>
    <mergeCell ref="AL713:AN713"/>
    <mergeCell ref="AL704:AN704"/>
    <mergeCell ref="AL705:AN705"/>
    <mergeCell ref="AL706:AN706"/>
    <mergeCell ref="AL707:AN707"/>
    <mergeCell ref="AL708:AN708"/>
    <mergeCell ref="AL699:AN699"/>
    <mergeCell ref="AL700:AN700"/>
    <mergeCell ref="AL701:AN701"/>
    <mergeCell ref="AL702:AN702"/>
    <mergeCell ref="AL703:AN703"/>
    <mergeCell ref="AL694:AN694"/>
    <mergeCell ref="AL695:AN695"/>
    <mergeCell ref="AL696:AN696"/>
    <mergeCell ref="AL697:AN697"/>
    <mergeCell ref="AL698:AN698"/>
    <mergeCell ref="AL689:AN689"/>
    <mergeCell ref="AL690:AN690"/>
    <mergeCell ref="AL691:AN691"/>
    <mergeCell ref="AL692:AN692"/>
    <mergeCell ref="AL693:AN693"/>
    <mergeCell ref="AL684:AN684"/>
    <mergeCell ref="AL685:AN685"/>
    <mergeCell ref="AL686:AN686"/>
    <mergeCell ref="AL687:AN687"/>
    <mergeCell ref="AL688:AN688"/>
    <mergeCell ref="AL679:AN679"/>
    <mergeCell ref="AL680:AN680"/>
    <mergeCell ref="AL681:AN681"/>
    <mergeCell ref="AL682:AN682"/>
    <mergeCell ref="AL683:AN683"/>
    <mergeCell ref="AL674:AN674"/>
    <mergeCell ref="AL675:AN675"/>
    <mergeCell ref="AL676:AN676"/>
    <mergeCell ref="AL677:AN677"/>
    <mergeCell ref="AL678:AN678"/>
    <mergeCell ref="AL669:AN669"/>
    <mergeCell ref="AL670:AN670"/>
    <mergeCell ref="AL671:AN671"/>
    <mergeCell ref="AL672:AN672"/>
    <mergeCell ref="AL673:AN673"/>
    <mergeCell ref="AL664:AN664"/>
    <mergeCell ref="AL665:AN665"/>
    <mergeCell ref="AL666:AN666"/>
    <mergeCell ref="AL667:AN667"/>
    <mergeCell ref="AL668:AN668"/>
    <mergeCell ref="AL659:AN659"/>
    <mergeCell ref="AL660:AN660"/>
    <mergeCell ref="AL661:AN661"/>
    <mergeCell ref="AL662:AN662"/>
    <mergeCell ref="AL663:AN663"/>
    <mergeCell ref="AL654:AN654"/>
    <mergeCell ref="AL655:AN655"/>
    <mergeCell ref="AL656:AN656"/>
    <mergeCell ref="AL657:AN657"/>
    <mergeCell ref="AL658:AN658"/>
    <mergeCell ref="AL649:AN649"/>
    <mergeCell ref="AL650:AN650"/>
    <mergeCell ref="AL651:AN651"/>
    <mergeCell ref="AL652:AN652"/>
    <mergeCell ref="AL653:AN653"/>
    <mergeCell ref="AL644:AN644"/>
    <mergeCell ref="AL645:AN645"/>
    <mergeCell ref="AL646:AN646"/>
    <mergeCell ref="AL647:AN647"/>
    <mergeCell ref="AL648:AN648"/>
    <mergeCell ref="AL639:AN639"/>
    <mergeCell ref="AL640:AN640"/>
    <mergeCell ref="AL641:AN641"/>
    <mergeCell ref="AL642:AN642"/>
    <mergeCell ref="AL643:AN643"/>
    <mergeCell ref="AL634:AN634"/>
    <mergeCell ref="AL635:AN635"/>
    <mergeCell ref="AL636:AN636"/>
    <mergeCell ref="AL637:AN637"/>
    <mergeCell ref="AL638:AN638"/>
    <mergeCell ref="AL629:AN629"/>
    <mergeCell ref="AL630:AN630"/>
    <mergeCell ref="AL631:AN631"/>
    <mergeCell ref="AL632:AN632"/>
    <mergeCell ref="AL633:AN633"/>
    <mergeCell ref="AL624:AN624"/>
    <mergeCell ref="AL625:AN625"/>
    <mergeCell ref="AL626:AN626"/>
    <mergeCell ref="AL627:AN627"/>
    <mergeCell ref="AL628:AN628"/>
    <mergeCell ref="AL619:AN619"/>
    <mergeCell ref="AL620:AN620"/>
    <mergeCell ref="AL621:AN621"/>
    <mergeCell ref="AL622:AN622"/>
    <mergeCell ref="AL623:AN623"/>
    <mergeCell ref="AL614:AN614"/>
    <mergeCell ref="AL615:AN615"/>
    <mergeCell ref="AL616:AN616"/>
    <mergeCell ref="AL617:AN617"/>
    <mergeCell ref="AL618:AN618"/>
    <mergeCell ref="AL609:AN609"/>
    <mergeCell ref="AL610:AN610"/>
    <mergeCell ref="AL611:AN611"/>
    <mergeCell ref="AL612:AN612"/>
    <mergeCell ref="AL613:AN613"/>
    <mergeCell ref="AL604:AN604"/>
    <mergeCell ref="AL605:AN605"/>
    <mergeCell ref="AL606:AN606"/>
    <mergeCell ref="AL607:AN607"/>
    <mergeCell ref="AL608:AN608"/>
    <mergeCell ref="AL599:AN599"/>
    <mergeCell ref="AL600:AN600"/>
    <mergeCell ref="AL601:AN601"/>
    <mergeCell ref="AL602:AN602"/>
    <mergeCell ref="AL603:AN603"/>
    <mergeCell ref="AL594:AN594"/>
    <mergeCell ref="AL595:AN595"/>
    <mergeCell ref="AL596:AN596"/>
    <mergeCell ref="AL597:AN597"/>
    <mergeCell ref="AL598:AN598"/>
    <mergeCell ref="AL589:AN589"/>
    <mergeCell ref="AL590:AN590"/>
    <mergeCell ref="AL591:AN591"/>
    <mergeCell ref="AL592:AN592"/>
    <mergeCell ref="AL593:AN593"/>
    <mergeCell ref="AL584:AN584"/>
    <mergeCell ref="AL585:AN585"/>
    <mergeCell ref="AL586:AN586"/>
    <mergeCell ref="AL587:AN587"/>
    <mergeCell ref="AL588:AN588"/>
    <mergeCell ref="AL579:AN579"/>
    <mergeCell ref="AL580:AN580"/>
    <mergeCell ref="AL581:AN581"/>
    <mergeCell ref="AL582:AN582"/>
    <mergeCell ref="AL583:AN583"/>
    <mergeCell ref="AL574:AN574"/>
    <mergeCell ref="AL575:AN575"/>
    <mergeCell ref="AL576:AN576"/>
    <mergeCell ref="AL577:AN577"/>
    <mergeCell ref="AL578:AN578"/>
    <mergeCell ref="AL569:AN569"/>
    <mergeCell ref="AL570:AN570"/>
    <mergeCell ref="AL571:AN571"/>
    <mergeCell ref="AL572:AN572"/>
    <mergeCell ref="AL573:AN573"/>
    <mergeCell ref="AL564:AN564"/>
    <mergeCell ref="AL565:AN565"/>
    <mergeCell ref="AL566:AN566"/>
    <mergeCell ref="AL567:AN567"/>
    <mergeCell ref="AL568:AN568"/>
    <mergeCell ref="AL559:AN559"/>
    <mergeCell ref="AL560:AN560"/>
    <mergeCell ref="AL561:AN561"/>
    <mergeCell ref="AL562:AN562"/>
    <mergeCell ref="AL563:AN563"/>
    <mergeCell ref="AL554:AN554"/>
    <mergeCell ref="AL555:AN555"/>
    <mergeCell ref="AL556:AN556"/>
    <mergeCell ref="AL557:AN557"/>
    <mergeCell ref="AL558:AN558"/>
    <mergeCell ref="AL549:AN549"/>
    <mergeCell ref="AL550:AN550"/>
    <mergeCell ref="AL551:AN551"/>
    <mergeCell ref="AL552:AN552"/>
    <mergeCell ref="AL553:AN553"/>
    <mergeCell ref="AL544:AN544"/>
    <mergeCell ref="AL545:AN545"/>
    <mergeCell ref="AL546:AN546"/>
    <mergeCell ref="AL547:AN547"/>
    <mergeCell ref="AL548:AN548"/>
    <mergeCell ref="AL539:AN539"/>
    <mergeCell ref="AL540:AN540"/>
    <mergeCell ref="AL541:AN541"/>
    <mergeCell ref="AL542:AN542"/>
    <mergeCell ref="AL543:AN543"/>
    <mergeCell ref="AL534:AN534"/>
    <mergeCell ref="AL535:AN535"/>
    <mergeCell ref="AL536:AN536"/>
    <mergeCell ref="AL537:AN537"/>
    <mergeCell ref="AL538:AN538"/>
    <mergeCell ref="AL529:AN529"/>
    <mergeCell ref="AL530:AN530"/>
    <mergeCell ref="AL531:AN531"/>
    <mergeCell ref="AL532:AN532"/>
    <mergeCell ref="AL533:AN533"/>
    <mergeCell ref="AL524:AN524"/>
    <mergeCell ref="AL525:AN525"/>
    <mergeCell ref="AL526:AN526"/>
    <mergeCell ref="AL527:AN527"/>
    <mergeCell ref="AL528:AN528"/>
    <mergeCell ref="AL519:AN519"/>
    <mergeCell ref="AL520:AN520"/>
    <mergeCell ref="AL521:AN521"/>
    <mergeCell ref="AL522:AN522"/>
    <mergeCell ref="AL523:AN523"/>
    <mergeCell ref="AL514:AN514"/>
    <mergeCell ref="AL515:AN515"/>
    <mergeCell ref="AL516:AN516"/>
    <mergeCell ref="AL517:AN517"/>
    <mergeCell ref="AL518:AN518"/>
    <mergeCell ref="AL509:AN509"/>
    <mergeCell ref="AL510:AN510"/>
    <mergeCell ref="AL511:AN511"/>
    <mergeCell ref="AL512:AN512"/>
    <mergeCell ref="AL513:AN513"/>
    <mergeCell ref="AL504:AN504"/>
    <mergeCell ref="AL505:AN505"/>
    <mergeCell ref="AL506:AN506"/>
    <mergeCell ref="AL507:AN507"/>
    <mergeCell ref="AL508:AN508"/>
    <mergeCell ref="AL499:AN499"/>
    <mergeCell ref="AL500:AN500"/>
    <mergeCell ref="AL501:AN501"/>
    <mergeCell ref="AL502:AN502"/>
    <mergeCell ref="AL503:AN503"/>
    <mergeCell ref="AL494:AN494"/>
    <mergeCell ref="AL495:AN495"/>
    <mergeCell ref="AL496:AN496"/>
    <mergeCell ref="AL497:AN497"/>
    <mergeCell ref="AL498:AN498"/>
    <mergeCell ref="AL489:AN489"/>
    <mergeCell ref="AL490:AN490"/>
    <mergeCell ref="AL491:AN491"/>
    <mergeCell ref="AL492:AN492"/>
    <mergeCell ref="AL493:AN493"/>
    <mergeCell ref="AL484:AN484"/>
    <mergeCell ref="AL485:AN485"/>
    <mergeCell ref="AL486:AN486"/>
    <mergeCell ref="AL487:AN487"/>
    <mergeCell ref="AL488:AN488"/>
    <mergeCell ref="AL479:AN479"/>
    <mergeCell ref="AL480:AN480"/>
    <mergeCell ref="AL481:AN481"/>
    <mergeCell ref="AL482:AN482"/>
    <mergeCell ref="AL483:AN483"/>
    <mergeCell ref="AL474:AN474"/>
    <mergeCell ref="AL475:AN475"/>
    <mergeCell ref="AL476:AN476"/>
    <mergeCell ref="AL477:AN477"/>
    <mergeCell ref="AL478:AN478"/>
    <mergeCell ref="AL469:AN469"/>
    <mergeCell ref="AL470:AN470"/>
    <mergeCell ref="AL471:AN471"/>
    <mergeCell ref="AL472:AN472"/>
    <mergeCell ref="AL473:AN473"/>
    <mergeCell ref="AL464:AN464"/>
    <mergeCell ref="AL465:AN465"/>
    <mergeCell ref="AL466:AN466"/>
    <mergeCell ref="AL467:AN467"/>
    <mergeCell ref="AL468:AN468"/>
    <mergeCell ref="AL459:AN459"/>
    <mergeCell ref="AL460:AN460"/>
    <mergeCell ref="AL461:AN461"/>
    <mergeCell ref="AL462:AN462"/>
    <mergeCell ref="AL463:AN463"/>
    <mergeCell ref="AL454:AN454"/>
    <mergeCell ref="AL455:AN455"/>
    <mergeCell ref="AL456:AN456"/>
    <mergeCell ref="AL457:AN457"/>
    <mergeCell ref="AL458:AN458"/>
    <mergeCell ref="AL449:AN449"/>
    <mergeCell ref="AL450:AN450"/>
    <mergeCell ref="AL451:AN451"/>
    <mergeCell ref="AL452:AN452"/>
    <mergeCell ref="AL453:AN453"/>
    <mergeCell ref="AL444:AN444"/>
    <mergeCell ref="AL445:AN445"/>
    <mergeCell ref="AL446:AN446"/>
    <mergeCell ref="AL447:AN447"/>
    <mergeCell ref="AL448:AN448"/>
    <mergeCell ref="AL439:AN439"/>
    <mergeCell ref="AL440:AN440"/>
    <mergeCell ref="AL441:AN441"/>
    <mergeCell ref="AL442:AN442"/>
    <mergeCell ref="AL443:AN443"/>
    <mergeCell ref="AL434:AN434"/>
    <mergeCell ref="AL435:AN435"/>
    <mergeCell ref="AL436:AN436"/>
    <mergeCell ref="AL437:AN437"/>
    <mergeCell ref="AL438:AN438"/>
    <mergeCell ref="AL429:AN429"/>
    <mergeCell ref="AL430:AN430"/>
    <mergeCell ref="AL431:AN431"/>
    <mergeCell ref="AL432:AN432"/>
    <mergeCell ref="AL433:AN433"/>
    <mergeCell ref="AL424:AN424"/>
    <mergeCell ref="AL425:AN425"/>
    <mergeCell ref="AL426:AN426"/>
    <mergeCell ref="AL427:AN427"/>
    <mergeCell ref="AL428:AN428"/>
    <mergeCell ref="AL419:AN419"/>
    <mergeCell ref="AL420:AN420"/>
    <mergeCell ref="AL421:AN421"/>
    <mergeCell ref="AL422:AN422"/>
    <mergeCell ref="AL423:AN423"/>
    <mergeCell ref="AL414:AN414"/>
    <mergeCell ref="AL415:AN415"/>
    <mergeCell ref="AL416:AN416"/>
    <mergeCell ref="AL417:AN417"/>
    <mergeCell ref="AL418:AN418"/>
    <mergeCell ref="AL409:AN409"/>
    <mergeCell ref="AL410:AN410"/>
    <mergeCell ref="AL411:AN411"/>
    <mergeCell ref="AL412:AN412"/>
    <mergeCell ref="AL413:AN413"/>
    <mergeCell ref="AL404:AN404"/>
    <mergeCell ref="AL405:AN405"/>
    <mergeCell ref="AL406:AN406"/>
    <mergeCell ref="AL407:AN407"/>
    <mergeCell ref="AL408:AN408"/>
    <mergeCell ref="AL399:AN399"/>
    <mergeCell ref="AL400:AN400"/>
    <mergeCell ref="AL401:AN401"/>
    <mergeCell ref="AL402:AN402"/>
    <mergeCell ref="AL403:AN403"/>
    <mergeCell ref="AL394:AN394"/>
    <mergeCell ref="AL395:AN395"/>
    <mergeCell ref="AL396:AN396"/>
    <mergeCell ref="AL397:AN397"/>
    <mergeCell ref="AL398:AN398"/>
    <mergeCell ref="AL389:AN389"/>
    <mergeCell ref="AL390:AN390"/>
    <mergeCell ref="AL391:AN391"/>
    <mergeCell ref="AL392:AN392"/>
    <mergeCell ref="AL393:AN393"/>
    <mergeCell ref="AL384:AN384"/>
    <mergeCell ref="AL385:AN385"/>
    <mergeCell ref="AL386:AN386"/>
    <mergeCell ref="AL387:AN387"/>
    <mergeCell ref="AL388:AN388"/>
    <mergeCell ref="AL379:AN379"/>
    <mergeCell ref="AL380:AN380"/>
    <mergeCell ref="AL381:AN381"/>
    <mergeCell ref="AL382:AN382"/>
    <mergeCell ref="AL383:AN383"/>
    <mergeCell ref="AL374:AN374"/>
    <mergeCell ref="AL375:AN375"/>
    <mergeCell ref="AL376:AN376"/>
    <mergeCell ref="AL377:AN377"/>
    <mergeCell ref="AL378:AN378"/>
    <mergeCell ref="AL369:AN369"/>
    <mergeCell ref="AL370:AN370"/>
    <mergeCell ref="AL371:AN371"/>
    <mergeCell ref="AL372:AN372"/>
    <mergeCell ref="AL373:AN373"/>
    <mergeCell ref="AL364:AN364"/>
    <mergeCell ref="AL365:AN365"/>
    <mergeCell ref="AL366:AN366"/>
    <mergeCell ref="AL367:AN367"/>
    <mergeCell ref="AL368:AN368"/>
    <mergeCell ref="AL359:AN359"/>
    <mergeCell ref="AL360:AN360"/>
    <mergeCell ref="AL361:AN361"/>
    <mergeCell ref="AL362:AN362"/>
    <mergeCell ref="AL363:AN363"/>
    <mergeCell ref="AL354:AN354"/>
    <mergeCell ref="AL355:AN355"/>
    <mergeCell ref="AL356:AN356"/>
    <mergeCell ref="AL357:AN357"/>
    <mergeCell ref="AL358:AN358"/>
    <mergeCell ref="AL349:AN349"/>
    <mergeCell ref="AL350:AN350"/>
    <mergeCell ref="AL351:AN351"/>
    <mergeCell ref="AL352:AN352"/>
    <mergeCell ref="AL353:AN353"/>
    <mergeCell ref="AL344:AN344"/>
    <mergeCell ref="AL345:AN345"/>
    <mergeCell ref="AL346:AN346"/>
    <mergeCell ref="AL347:AN347"/>
    <mergeCell ref="AL348:AN348"/>
    <mergeCell ref="AL339:AN339"/>
    <mergeCell ref="AL340:AN340"/>
    <mergeCell ref="AL341:AN341"/>
    <mergeCell ref="AL342:AN342"/>
    <mergeCell ref="AL343:AN343"/>
    <mergeCell ref="AL334:AN334"/>
    <mergeCell ref="AL335:AN335"/>
    <mergeCell ref="AL336:AN336"/>
    <mergeCell ref="AL337:AN337"/>
    <mergeCell ref="AL338:AN338"/>
    <mergeCell ref="AL329:AN329"/>
    <mergeCell ref="AL330:AN330"/>
    <mergeCell ref="AL331:AN331"/>
    <mergeCell ref="AL332:AN332"/>
    <mergeCell ref="AL333:AN333"/>
    <mergeCell ref="AL324:AN324"/>
    <mergeCell ref="AL325:AN325"/>
    <mergeCell ref="AL326:AN326"/>
    <mergeCell ref="AL327:AN327"/>
    <mergeCell ref="AL328:AN328"/>
    <mergeCell ref="AL319:AN319"/>
    <mergeCell ref="AL320:AN320"/>
    <mergeCell ref="AL321:AN321"/>
    <mergeCell ref="AL322:AN322"/>
    <mergeCell ref="AL323:AN323"/>
    <mergeCell ref="AL314:AN314"/>
    <mergeCell ref="AL315:AN315"/>
    <mergeCell ref="AL316:AN316"/>
    <mergeCell ref="AL317:AN317"/>
    <mergeCell ref="AL318:AN318"/>
    <mergeCell ref="AL309:AN309"/>
    <mergeCell ref="AL310:AN310"/>
    <mergeCell ref="AL311:AN311"/>
    <mergeCell ref="AL312:AN312"/>
    <mergeCell ref="AL313:AN313"/>
    <mergeCell ref="AL304:AN304"/>
    <mergeCell ref="AL305:AN305"/>
    <mergeCell ref="AL306:AN306"/>
    <mergeCell ref="AL307:AN307"/>
    <mergeCell ref="AL308:AN308"/>
    <mergeCell ref="AL299:AN299"/>
    <mergeCell ref="AL300:AN300"/>
    <mergeCell ref="AL301:AN301"/>
    <mergeCell ref="AL302:AN302"/>
    <mergeCell ref="AL303:AN303"/>
    <mergeCell ref="AL294:AN294"/>
    <mergeCell ref="AL295:AN295"/>
    <mergeCell ref="AL296:AN296"/>
    <mergeCell ref="AL297:AN297"/>
    <mergeCell ref="AL298:AN298"/>
    <mergeCell ref="AL289:AN289"/>
    <mergeCell ref="AL290:AN290"/>
    <mergeCell ref="AL291:AN291"/>
    <mergeCell ref="AL292:AN292"/>
    <mergeCell ref="AL293:AN293"/>
    <mergeCell ref="AL284:AN284"/>
    <mergeCell ref="AL285:AN285"/>
    <mergeCell ref="AL286:AN286"/>
    <mergeCell ref="AL287:AN287"/>
    <mergeCell ref="AL288:AN288"/>
    <mergeCell ref="AL279:AN279"/>
    <mergeCell ref="AL280:AN280"/>
    <mergeCell ref="AL281:AN281"/>
    <mergeCell ref="AL282:AN282"/>
    <mergeCell ref="AL283:AN283"/>
    <mergeCell ref="AL274:AN274"/>
    <mergeCell ref="AL275:AN275"/>
    <mergeCell ref="AL276:AN276"/>
    <mergeCell ref="AL277:AN277"/>
    <mergeCell ref="AL278:AN278"/>
    <mergeCell ref="AL269:AN269"/>
    <mergeCell ref="AL270:AN270"/>
    <mergeCell ref="AL271:AN271"/>
    <mergeCell ref="AL272:AN272"/>
    <mergeCell ref="AL273:AN273"/>
    <mergeCell ref="AL264:AN264"/>
    <mergeCell ref="AL265:AN265"/>
    <mergeCell ref="AL266:AN266"/>
    <mergeCell ref="AL267:AN267"/>
    <mergeCell ref="AL268:AN268"/>
    <mergeCell ref="AL259:AN259"/>
    <mergeCell ref="AL260:AN260"/>
    <mergeCell ref="AL261:AN261"/>
    <mergeCell ref="AL262:AN262"/>
    <mergeCell ref="AL263:AN263"/>
    <mergeCell ref="AL254:AN254"/>
    <mergeCell ref="AL255:AN255"/>
    <mergeCell ref="AL256:AN256"/>
    <mergeCell ref="AL257:AN257"/>
    <mergeCell ref="AL258:AN258"/>
    <mergeCell ref="AL249:AN249"/>
    <mergeCell ref="AL250:AN250"/>
    <mergeCell ref="AL251:AN251"/>
    <mergeCell ref="AL252:AN252"/>
    <mergeCell ref="AL253:AN253"/>
    <mergeCell ref="AL244:AN244"/>
    <mergeCell ref="AL245:AN245"/>
    <mergeCell ref="AL246:AN246"/>
    <mergeCell ref="AL247:AN247"/>
    <mergeCell ref="AL248:AN248"/>
    <mergeCell ref="AL239:AN239"/>
    <mergeCell ref="AL240:AN240"/>
    <mergeCell ref="AL241:AN241"/>
    <mergeCell ref="AL242:AN242"/>
    <mergeCell ref="AL243:AN243"/>
    <mergeCell ref="AL234:AN234"/>
    <mergeCell ref="AL235:AN235"/>
    <mergeCell ref="AL236:AN236"/>
    <mergeCell ref="AL237:AN237"/>
    <mergeCell ref="AL238:AN238"/>
    <mergeCell ref="AL229:AN229"/>
    <mergeCell ref="AL230:AN230"/>
    <mergeCell ref="AL231:AN231"/>
    <mergeCell ref="AL232:AN232"/>
    <mergeCell ref="AL233:AN233"/>
    <mergeCell ref="AL224:AN224"/>
    <mergeCell ref="AL225:AN225"/>
    <mergeCell ref="AL226:AN226"/>
    <mergeCell ref="AL227:AN227"/>
    <mergeCell ref="AL228:AN228"/>
    <mergeCell ref="AL219:AN219"/>
    <mergeCell ref="AL220:AN220"/>
    <mergeCell ref="AL221:AN221"/>
    <mergeCell ref="AL222:AN222"/>
    <mergeCell ref="AL223:AN223"/>
    <mergeCell ref="AL214:AN214"/>
    <mergeCell ref="AL215:AN215"/>
    <mergeCell ref="AL216:AN216"/>
    <mergeCell ref="AL217:AN217"/>
    <mergeCell ref="AL218:AN218"/>
    <mergeCell ref="AL209:AN209"/>
    <mergeCell ref="AL210:AN210"/>
    <mergeCell ref="AL211:AN211"/>
    <mergeCell ref="AL212:AN212"/>
    <mergeCell ref="AL213:AN213"/>
    <mergeCell ref="AL204:AN204"/>
    <mergeCell ref="AL205:AN205"/>
    <mergeCell ref="AL206:AN206"/>
    <mergeCell ref="AL207:AN207"/>
    <mergeCell ref="AL208:AN208"/>
    <mergeCell ref="AL199:AN199"/>
    <mergeCell ref="AL200:AN200"/>
    <mergeCell ref="AL201:AN201"/>
    <mergeCell ref="AL202:AN202"/>
    <mergeCell ref="AL203:AN203"/>
    <mergeCell ref="AL194:AN194"/>
    <mergeCell ref="AL195:AN195"/>
    <mergeCell ref="AL196:AN196"/>
    <mergeCell ref="AL197:AN197"/>
    <mergeCell ref="AL198:AN198"/>
    <mergeCell ref="AL189:AN189"/>
    <mergeCell ref="AL190:AN190"/>
    <mergeCell ref="AL191:AN191"/>
    <mergeCell ref="AL192:AN192"/>
    <mergeCell ref="AL193:AN193"/>
    <mergeCell ref="AL184:AN184"/>
    <mergeCell ref="AL185:AN185"/>
    <mergeCell ref="AL186:AN186"/>
    <mergeCell ref="AL187:AN187"/>
    <mergeCell ref="AL188:AN188"/>
    <mergeCell ref="AL179:AN179"/>
    <mergeCell ref="AL180:AN180"/>
    <mergeCell ref="AL181:AN181"/>
    <mergeCell ref="AL182:AN182"/>
    <mergeCell ref="AL183:AN183"/>
    <mergeCell ref="AL174:AN174"/>
    <mergeCell ref="AL175:AN175"/>
    <mergeCell ref="AL176:AN176"/>
    <mergeCell ref="AL177:AN177"/>
    <mergeCell ref="AL178:AN178"/>
    <mergeCell ref="AL169:AN169"/>
    <mergeCell ref="AL170:AN170"/>
    <mergeCell ref="AL171:AN171"/>
    <mergeCell ref="AL172:AN172"/>
    <mergeCell ref="AL173:AN173"/>
    <mergeCell ref="AL164:AN164"/>
    <mergeCell ref="AL165:AN165"/>
    <mergeCell ref="AL166:AN166"/>
    <mergeCell ref="AL167:AN167"/>
    <mergeCell ref="AL168:AN168"/>
    <mergeCell ref="AL159:AN159"/>
    <mergeCell ref="AL160:AN160"/>
    <mergeCell ref="AL161:AN161"/>
    <mergeCell ref="AL162:AN162"/>
    <mergeCell ref="AL163:AN163"/>
    <mergeCell ref="AL154:AN154"/>
    <mergeCell ref="AL155:AN155"/>
    <mergeCell ref="AL156:AN156"/>
    <mergeCell ref="AL157:AN157"/>
    <mergeCell ref="AL158:AN158"/>
    <mergeCell ref="AL149:AN149"/>
    <mergeCell ref="AL150:AN150"/>
    <mergeCell ref="AL151:AN151"/>
    <mergeCell ref="AL152:AN152"/>
    <mergeCell ref="AL153:AN153"/>
    <mergeCell ref="AL144:AN144"/>
    <mergeCell ref="AL145:AN145"/>
    <mergeCell ref="AL146:AN146"/>
    <mergeCell ref="AL147:AN147"/>
    <mergeCell ref="AL148:AN148"/>
    <mergeCell ref="AL139:AN139"/>
    <mergeCell ref="AL140:AN140"/>
    <mergeCell ref="AL141:AN141"/>
    <mergeCell ref="AL142:AN142"/>
    <mergeCell ref="AL143:AN143"/>
    <mergeCell ref="AL134:AN134"/>
    <mergeCell ref="AL135:AN135"/>
    <mergeCell ref="AL136:AN136"/>
    <mergeCell ref="AL137:AN137"/>
    <mergeCell ref="AL138:AN138"/>
    <mergeCell ref="AL129:AN129"/>
    <mergeCell ref="AL130:AN130"/>
    <mergeCell ref="AL131:AN131"/>
    <mergeCell ref="AL132:AN132"/>
    <mergeCell ref="AL133:AN133"/>
    <mergeCell ref="AL124:AN124"/>
    <mergeCell ref="AL125:AN125"/>
    <mergeCell ref="AL126:AN126"/>
    <mergeCell ref="AL127:AN127"/>
    <mergeCell ref="AL128:AN128"/>
    <mergeCell ref="AL119:AN119"/>
    <mergeCell ref="AL120:AN120"/>
    <mergeCell ref="AL121:AN121"/>
    <mergeCell ref="AL122:AN122"/>
    <mergeCell ref="AL123:AN123"/>
    <mergeCell ref="AL114:AN114"/>
    <mergeCell ref="AL115:AN115"/>
    <mergeCell ref="AL116:AN116"/>
    <mergeCell ref="AL117:AN117"/>
    <mergeCell ref="AL118:AN118"/>
    <mergeCell ref="AL109:AN109"/>
    <mergeCell ref="AL110:AN110"/>
    <mergeCell ref="AL111:AN111"/>
    <mergeCell ref="AL112:AN112"/>
    <mergeCell ref="AL113:AN113"/>
    <mergeCell ref="AL104:AN104"/>
    <mergeCell ref="AL105:AN105"/>
    <mergeCell ref="AL106:AN106"/>
    <mergeCell ref="AL107:AN107"/>
    <mergeCell ref="AL108:AN108"/>
    <mergeCell ref="AL99:AN99"/>
    <mergeCell ref="AL100:AN100"/>
    <mergeCell ref="AL101:AN101"/>
    <mergeCell ref="AL102:AN102"/>
    <mergeCell ref="AL103:AN103"/>
    <mergeCell ref="AL94:AN94"/>
    <mergeCell ref="AL95:AN95"/>
    <mergeCell ref="AL96:AN96"/>
    <mergeCell ref="AL97:AN97"/>
    <mergeCell ref="AL98:AN98"/>
    <mergeCell ref="AL89:AN89"/>
    <mergeCell ref="AL90:AN90"/>
    <mergeCell ref="AL91:AN91"/>
    <mergeCell ref="AL92:AN92"/>
    <mergeCell ref="AL93:AN93"/>
    <mergeCell ref="AL84:AN84"/>
    <mergeCell ref="AL85:AN85"/>
    <mergeCell ref="AL86:AN86"/>
    <mergeCell ref="AL87:AN87"/>
    <mergeCell ref="AL88:AN88"/>
    <mergeCell ref="AL79:AN79"/>
    <mergeCell ref="AL80:AN80"/>
    <mergeCell ref="AL81:AN81"/>
    <mergeCell ref="AL82:AN82"/>
    <mergeCell ref="AL83:AN83"/>
    <mergeCell ref="AL74:AN74"/>
    <mergeCell ref="AL75:AN75"/>
    <mergeCell ref="AL76:AN76"/>
    <mergeCell ref="AL77:AN77"/>
    <mergeCell ref="AL78:AN78"/>
    <mergeCell ref="AL69:AN69"/>
    <mergeCell ref="AL70:AN70"/>
    <mergeCell ref="AL71:AN71"/>
    <mergeCell ref="AL72:AN72"/>
    <mergeCell ref="AL73:AN73"/>
    <mergeCell ref="AL64:AN64"/>
    <mergeCell ref="AL65:AN65"/>
    <mergeCell ref="AL66:AN66"/>
    <mergeCell ref="AL67:AN67"/>
    <mergeCell ref="AL68:AN68"/>
    <mergeCell ref="AL59:AN59"/>
    <mergeCell ref="AL60:AN60"/>
    <mergeCell ref="AL61:AN61"/>
    <mergeCell ref="AL62:AN62"/>
    <mergeCell ref="AL63:AN63"/>
    <mergeCell ref="AL54:AN54"/>
    <mergeCell ref="AL55:AN55"/>
    <mergeCell ref="AL56:AN56"/>
    <mergeCell ref="AL57:AN57"/>
    <mergeCell ref="AL58:AN58"/>
    <mergeCell ref="AL49:AN49"/>
    <mergeCell ref="AL50:AN50"/>
    <mergeCell ref="AL51:AN51"/>
    <mergeCell ref="AL52:AN52"/>
    <mergeCell ref="AL53:AN53"/>
    <mergeCell ref="AL44:AN44"/>
    <mergeCell ref="AL45:AN45"/>
    <mergeCell ref="AL46:AN46"/>
    <mergeCell ref="AL47:AN47"/>
    <mergeCell ref="AL48:AN48"/>
    <mergeCell ref="AL39:AN39"/>
    <mergeCell ref="AL40:AN40"/>
    <mergeCell ref="AL41:AN41"/>
    <mergeCell ref="AL42:AN42"/>
    <mergeCell ref="AL43:AN43"/>
    <mergeCell ref="AL35:AN35"/>
    <mergeCell ref="AL36:AN36"/>
    <mergeCell ref="AL37:AN37"/>
    <mergeCell ref="AL38:AN38"/>
    <mergeCell ref="AL29:AN29"/>
    <mergeCell ref="AL30:AN30"/>
    <mergeCell ref="AL31:AN31"/>
    <mergeCell ref="AL32:AN32"/>
    <mergeCell ref="AL33:AN33"/>
    <mergeCell ref="AL24:AN24"/>
    <mergeCell ref="AL25:AN25"/>
    <mergeCell ref="AL26:AN26"/>
    <mergeCell ref="AL27:AN27"/>
    <mergeCell ref="AL28:AN28"/>
    <mergeCell ref="AL19:AN19"/>
    <mergeCell ref="AL20:AN20"/>
    <mergeCell ref="AL21:AN21"/>
    <mergeCell ref="AL22:AN22"/>
    <mergeCell ref="AL23:AN23"/>
    <mergeCell ref="AH997:AK997"/>
    <mergeCell ref="AH998:AK998"/>
    <mergeCell ref="AL5:AN5"/>
    <mergeCell ref="AL7:AN7"/>
    <mergeCell ref="AL8:AN8"/>
    <mergeCell ref="AL9:AN9"/>
    <mergeCell ref="AL10:AN10"/>
    <mergeCell ref="AL11:AN11"/>
    <mergeCell ref="AL12:AN12"/>
    <mergeCell ref="AL13:AN13"/>
    <mergeCell ref="AL14:AN14"/>
    <mergeCell ref="AL15:AN15"/>
    <mergeCell ref="AL16:AN16"/>
    <mergeCell ref="AL17:AN17"/>
    <mergeCell ref="AL18:AN18"/>
    <mergeCell ref="AH992:AK992"/>
    <mergeCell ref="AH993:AK993"/>
    <mergeCell ref="AH994:AK994"/>
    <mergeCell ref="AH995:AK995"/>
    <mergeCell ref="AH996:AK996"/>
    <mergeCell ref="AH987:AK987"/>
    <mergeCell ref="AH988:AK988"/>
    <mergeCell ref="AH989:AK989"/>
    <mergeCell ref="AH990:AK990"/>
    <mergeCell ref="AH991:AK991"/>
    <mergeCell ref="AH982:AK982"/>
    <mergeCell ref="AH983:AK983"/>
    <mergeCell ref="AH984:AK984"/>
    <mergeCell ref="AH985:AK985"/>
    <mergeCell ref="AH986:AK986"/>
    <mergeCell ref="AH977:AK977"/>
    <mergeCell ref="AL34:AN34"/>
    <mergeCell ref="AH978:AK978"/>
    <mergeCell ref="AH979:AK979"/>
    <mergeCell ref="AH980:AK980"/>
    <mergeCell ref="AH981:AK981"/>
    <mergeCell ref="AH972:AK972"/>
    <mergeCell ref="AH973:AK973"/>
    <mergeCell ref="AH974:AK974"/>
    <mergeCell ref="AH975:AK975"/>
    <mergeCell ref="AH976:AK976"/>
    <mergeCell ref="AH967:AK967"/>
    <mergeCell ref="AH968:AK968"/>
    <mergeCell ref="AH969:AK969"/>
    <mergeCell ref="AH970:AK970"/>
    <mergeCell ref="AH971:AK971"/>
    <mergeCell ref="AH962:AK962"/>
    <mergeCell ref="AH963:AK963"/>
    <mergeCell ref="AH964:AK964"/>
    <mergeCell ref="AH965:AK965"/>
    <mergeCell ref="AH966:AK966"/>
    <mergeCell ref="AH957:AK957"/>
    <mergeCell ref="AH958:AK958"/>
    <mergeCell ref="AH959:AK959"/>
    <mergeCell ref="AH960:AK960"/>
    <mergeCell ref="AH961:AK961"/>
    <mergeCell ref="AH952:AK952"/>
    <mergeCell ref="AH953:AK953"/>
    <mergeCell ref="AH954:AK954"/>
    <mergeCell ref="AH955:AK955"/>
    <mergeCell ref="AH956:AK956"/>
    <mergeCell ref="AH947:AK947"/>
    <mergeCell ref="AH948:AK948"/>
    <mergeCell ref="AH949:AK949"/>
    <mergeCell ref="AH950:AK950"/>
    <mergeCell ref="AH951:AK951"/>
    <mergeCell ref="AH942:AK942"/>
    <mergeCell ref="AH943:AK943"/>
    <mergeCell ref="AH944:AK944"/>
    <mergeCell ref="AH945:AK945"/>
    <mergeCell ref="AH946:AK946"/>
    <mergeCell ref="AH937:AK937"/>
    <mergeCell ref="AH938:AK938"/>
    <mergeCell ref="AH939:AK939"/>
    <mergeCell ref="AH940:AK940"/>
    <mergeCell ref="AH941:AK941"/>
    <mergeCell ref="AH932:AK932"/>
    <mergeCell ref="AH933:AK933"/>
    <mergeCell ref="AH934:AK934"/>
    <mergeCell ref="AH935:AK935"/>
    <mergeCell ref="AH936:AK936"/>
    <mergeCell ref="AH927:AK927"/>
    <mergeCell ref="AH928:AK928"/>
    <mergeCell ref="AH929:AK929"/>
    <mergeCell ref="AH930:AK930"/>
    <mergeCell ref="AH931:AK931"/>
    <mergeCell ref="AH922:AK922"/>
    <mergeCell ref="AH923:AK923"/>
    <mergeCell ref="AH924:AK924"/>
    <mergeCell ref="AH925:AK925"/>
    <mergeCell ref="AH926:AK926"/>
    <mergeCell ref="AH917:AK917"/>
    <mergeCell ref="AH918:AK918"/>
    <mergeCell ref="AH919:AK919"/>
    <mergeCell ref="AH920:AK920"/>
    <mergeCell ref="AH921:AK921"/>
    <mergeCell ref="AH912:AK912"/>
    <mergeCell ref="AH913:AK913"/>
    <mergeCell ref="AH914:AK914"/>
    <mergeCell ref="AH915:AK915"/>
    <mergeCell ref="AH916:AK916"/>
    <mergeCell ref="AH907:AK907"/>
    <mergeCell ref="AH908:AK908"/>
    <mergeCell ref="AH909:AK909"/>
    <mergeCell ref="AH910:AK910"/>
    <mergeCell ref="AH911:AK911"/>
    <mergeCell ref="AH902:AK902"/>
    <mergeCell ref="AH903:AK903"/>
    <mergeCell ref="AH904:AK904"/>
    <mergeCell ref="AH905:AK905"/>
    <mergeCell ref="AH906:AK906"/>
    <mergeCell ref="AH897:AK897"/>
    <mergeCell ref="AH898:AK898"/>
    <mergeCell ref="AH899:AK899"/>
    <mergeCell ref="AH900:AK900"/>
    <mergeCell ref="AH901:AK901"/>
    <mergeCell ref="AH892:AK892"/>
    <mergeCell ref="AH893:AK893"/>
    <mergeCell ref="AH894:AK894"/>
    <mergeCell ref="AH895:AK895"/>
    <mergeCell ref="AH896:AK896"/>
    <mergeCell ref="AH887:AK887"/>
    <mergeCell ref="AH888:AK888"/>
    <mergeCell ref="AH889:AK889"/>
    <mergeCell ref="AH890:AK890"/>
    <mergeCell ref="AH891:AK891"/>
    <mergeCell ref="AH882:AK882"/>
    <mergeCell ref="AH883:AK883"/>
    <mergeCell ref="AH884:AK884"/>
    <mergeCell ref="AH885:AK885"/>
    <mergeCell ref="AH886:AK886"/>
    <mergeCell ref="AH877:AK877"/>
    <mergeCell ref="AH878:AK878"/>
    <mergeCell ref="AH879:AK879"/>
    <mergeCell ref="AH880:AK880"/>
    <mergeCell ref="AH881:AK881"/>
    <mergeCell ref="AH872:AK872"/>
    <mergeCell ref="AH873:AK873"/>
    <mergeCell ref="AH874:AK874"/>
    <mergeCell ref="AH875:AK875"/>
    <mergeCell ref="AH876:AK876"/>
    <mergeCell ref="AH867:AK867"/>
    <mergeCell ref="AH868:AK868"/>
    <mergeCell ref="AH869:AK869"/>
    <mergeCell ref="AH870:AK870"/>
    <mergeCell ref="AH871:AK871"/>
    <mergeCell ref="AH862:AK862"/>
    <mergeCell ref="AH863:AK863"/>
    <mergeCell ref="AH864:AK864"/>
    <mergeCell ref="AH865:AK865"/>
    <mergeCell ref="AH866:AK866"/>
    <mergeCell ref="AH857:AK857"/>
    <mergeCell ref="AH858:AK858"/>
    <mergeCell ref="AH859:AK859"/>
    <mergeCell ref="AH860:AK860"/>
    <mergeCell ref="AH861:AK861"/>
    <mergeCell ref="AH852:AK852"/>
    <mergeCell ref="AH853:AK853"/>
    <mergeCell ref="AH854:AK854"/>
    <mergeCell ref="AH855:AK855"/>
    <mergeCell ref="AH856:AK856"/>
    <mergeCell ref="AH847:AK847"/>
    <mergeCell ref="AH848:AK848"/>
    <mergeCell ref="AH849:AK849"/>
    <mergeCell ref="AH850:AK850"/>
    <mergeCell ref="AH851:AK851"/>
    <mergeCell ref="AH842:AK842"/>
    <mergeCell ref="AH843:AK843"/>
    <mergeCell ref="AH844:AK844"/>
    <mergeCell ref="AH845:AK845"/>
    <mergeCell ref="AH846:AK846"/>
    <mergeCell ref="AH837:AK837"/>
    <mergeCell ref="AH838:AK838"/>
    <mergeCell ref="AH839:AK839"/>
    <mergeCell ref="AH840:AK840"/>
    <mergeCell ref="AH841:AK841"/>
    <mergeCell ref="AH832:AK832"/>
    <mergeCell ref="AH833:AK833"/>
    <mergeCell ref="AH834:AK834"/>
    <mergeCell ref="AH835:AK835"/>
    <mergeCell ref="AH836:AK836"/>
    <mergeCell ref="AH827:AK827"/>
    <mergeCell ref="AH828:AK828"/>
    <mergeCell ref="AH829:AK829"/>
    <mergeCell ref="AH830:AK830"/>
    <mergeCell ref="AH831:AK831"/>
    <mergeCell ref="AH822:AK822"/>
    <mergeCell ref="AH823:AK823"/>
    <mergeCell ref="AH824:AK824"/>
    <mergeCell ref="AH825:AK825"/>
    <mergeCell ref="AH826:AK826"/>
    <mergeCell ref="AH817:AK817"/>
    <mergeCell ref="AH818:AK818"/>
    <mergeCell ref="AH819:AK819"/>
    <mergeCell ref="AH820:AK820"/>
    <mergeCell ref="AH821:AK821"/>
    <mergeCell ref="AH812:AK812"/>
    <mergeCell ref="AH813:AK813"/>
    <mergeCell ref="AH814:AK814"/>
    <mergeCell ref="AH815:AK815"/>
    <mergeCell ref="AH816:AK816"/>
    <mergeCell ref="AH807:AK807"/>
    <mergeCell ref="AH808:AK808"/>
    <mergeCell ref="AH809:AK809"/>
    <mergeCell ref="AH810:AK810"/>
    <mergeCell ref="AH811:AK811"/>
    <mergeCell ref="AH802:AK802"/>
    <mergeCell ref="AH803:AK803"/>
    <mergeCell ref="AH804:AK804"/>
    <mergeCell ref="AH805:AK805"/>
    <mergeCell ref="AH806:AK806"/>
    <mergeCell ref="AH797:AK797"/>
    <mergeCell ref="AH798:AK798"/>
    <mergeCell ref="AH799:AK799"/>
    <mergeCell ref="AH800:AK800"/>
    <mergeCell ref="AH801:AK801"/>
    <mergeCell ref="AH792:AK792"/>
    <mergeCell ref="AH793:AK793"/>
    <mergeCell ref="AH794:AK794"/>
    <mergeCell ref="AH795:AK795"/>
    <mergeCell ref="AH796:AK796"/>
    <mergeCell ref="AH787:AK787"/>
    <mergeCell ref="AH788:AK788"/>
    <mergeCell ref="AH789:AK789"/>
    <mergeCell ref="AH790:AK790"/>
    <mergeCell ref="AH791:AK791"/>
    <mergeCell ref="AH782:AK782"/>
    <mergeCell ref="AH783:AK783"/>
    <mergeCell ref="AH784:AK784"/>
    <mergeCell ref="AH785:AK785"/>
    <mergeCell ref="AH786:AK786"/>
    <mergeCell ref="AH777:AK777"/>
    <mergeCell ref="AH778:AK778"/>
    <mergeCell ref="AH779:AK779"/>
    <mergeCell ref="AH780:AK780"/>
    <mergeCell ref="AH781:AK781"/>
    <mergeCell ref="AH772:AK772"/>
    <mergeCell ref="AH773:AK773"/>
    <mergeCell ref="AH774:AK774"/>
    <mergeCell ref="AH775:AK775"/>
    <mergeCell ref="AH776:AK776"/>
    <mergeCell ref="AH767:AK767"/>
    <mergeCell ref="AH768:AK768"/>
    <mergeCell ref="AH769:AK769"/>
    <mergeCell ref="AH770:AK770"/>
    <mergeCell ref="AH771:AK771"/>
    <mergeCell ref="AH762:AK762"/>
    <mergeCell ref="AH763:AK763"/>
    <mergeCell ref="AH764:AK764"/>
    <mergeCell ref="AH765:AK765"/>
    <mergeCell ref="AH766:AK766"/>
    <mergeCell ref="AH757:AK757"/>
    <mergeCell ref="AH758:AK758"/>
    <mergeCell ref="AH759:AK759"/>
    <mergeCell ref="AH760:AK760"/>
    <mergeCell ref="AH761:AK761"/>
    <mergeCell ref="AH752:AK752"/>
    <mergeCell ref="AH753:AK753"/>
    <mergeCell ref="AH754:AK754"/>
    <mergeCell ref="AH755:AK755"/>
    <mergeCell ref="AH756:AK756"/>
    <mergeCell ref="AH747:AK747"/>
    <mergeCell ref="AH748:AK748"/>
    <mergeCell ref="AH749:AK749"/>
    <mergeCell ref="AH750:AK750"/>
    <mergeCell ref="AH751:AK751"/>
    <mergeCell ref="AH742:AK742"/>
    <mergeCell ref="AH743:AK743"/>
    <mergeCell ref="AH744:AK744"/>
    <mergeCell ref="AH745:AK745"/>
    <mergeCell ref="AH746:AK746"/>
    <mergeCell ref="AH737:AK737"/>
    <mergeCell ref="AH738:AK738"/>
    <mergeCell ref="AH739:AK739"/>
    <mergeCell ref="AH740:AK740"/>
    <mergeCell ref="AH741:AK741"/>
    <mergeCell ref="AH732:AK732"/>
    <mergeCell ref="AH733:AK733"/>
    <mergeCell ref="AH734:AK734"/>
    <mergeCell ref="AH735:AK735"/>
    <mergeCell ref="AH736:AK736"/>
    <mergeCell ref="AH727:AK727"/>
    <mergeCell ref="AH728:AK728"/>
    <mergeCell ref="AH729:AK729"/>
    <mergeCell ref="AH730:AK730"/>
    <mergeCell ref="AH731:AK731"/>
    <mergeCell ref="AH722:AK722"/>
    <mergeCell ref="AH723:AK723"/>
    <mergeCell ref="AH724:AK724"/>
    <mergeCell ref="AH725:AK725"/>
    <mergeCell ref="AH726:AK726"/>
    <mergeCell ref="AH717:AK717"/>
    <mergeCell ref="AH718:AK718"/>
    <mergeCell ref="AH719:AK719"/>
    <mergeCell ref="AH720:AK720"/>
    <mergeCell ref="AH721:AK721"/>
    <mergeCell ref="AH712:AK712"/>
    <mergeCell ref="AH713:AK713"/>
    <mergeCell ref="AH714:AK714"/>
    <mergeCell ref="AH715:AK715"/>
    <mergeCell ref="AH716:AK716"/>
    <mergeCell ref="AH707:AK707"/>
    <mergeCell ref="AH708:AK708"/>
    <mergeCell ref="AH709:AK709"/>
    <mergeCell ref="AH710:AK710"/>
    <mergeCell ref="AH711:AK711"/>
    <mergeCell ref="AH702:AK702"/>
    <mergeCell ref="AH703:AK703"/>
    <mergeCell ref="AH704:AK704"/>
    <mergeCell ref="AH705:AK705"/>
    <mergeCell ref="AH706:AK706"/>
    <mergeCell ref="AH697:AK697"/>
    <mergeCell ref="AH698:AK698"/>
    <mergeCell ref="AH699:AK699"/>
    <mergeCell ref="AH700:AK700"/>
    <mergeCell ref="AH701:AK701"/>
    <mergeCell ref="AH692:AK692"/>
    <mergeCell ref="AH693:AK693"/>
    <mergeCell ref="AH694:AK694"/>
    <mergeCell ref="AH695:AK695"/>
    <mergeCell ref="AH696:AK696"/>
    <mergeCell ref="AH687:AK687"/>
    <mergeCell ref="AH688:AK688"/>
    <mergeCell ref="AH689:AK689"/>
    <mergeCell ref="AH690:AK690"/>
    <mergeCell ref="AH691:AK691"/>
    <mergeCell ref="AH682:AK682"/>
    <mergeCell ref="AH683:AK683"/>
    <mergeCell ref="AH684:AK684"/>
    <mergeCell ref="AH685:AK685"/>
    <mergeCell ref="AH686:AK686"/>
    <mergeCell ref="AH677:AK677"/>
    <mergeCell ref="AH678:AK678"/>
    <mergeCell ref="AH679:AK679"/>
    <mergeCell ref="AH680:AK680"/>
    <mergeCell ref="AH681:AK681"/>
    <mergeCell ref="AH672:AK672"/>
    <mergeCell ref="AH673:AK673"/>
    <mergeCell ref="AH674:AK674"/>
    <mergeCell ref="AH675:AK675"/>
    <mergeCell ref="AH676:AK676"/>
    <mergeCell ref="AH667:AK667"/>
    <mergeCell ref="AH668:AK668"/>
    <mergeCell ref="AH669:AK669"/>
    <mergeCell ref="AH670:AK670"/>
    <mergeCell ref="AH671:AK671"/>
    <mergeCell ref="AH662:AK662"/>
    <mergeCell ref="AH663:AK663"/>
    <mergeCell ref="AH664:AK664"/>
    <mergeCell ref="AH665:AK665"/>
    <mergeCell ref="AH666:AK666"/>
    <mergeCell ref="AH657:AK657"/>
    <mergeCell ref="AH658:AK658"/>
    <mergeCell ref="AH659:AK659"/>
    <mergeCell ref="AH660:AK660"/>
    <mergeCell ref="AH661:AK661"/>
    <mergeCell ref="AH652:AK652"/>
    <mergeCell ref="AH653:AK653"/>
    <mergeCell ref="AH654:AK654"/>
    <mergeCell ref="AH655:AK655"/>
    <mergeCell ref="AH656:AK656"/>
    <mergeCell ref="AH647:AK647"/>
    <mergeCell ref="AH648:AK648"/>
    <mergeCell ref="AH649:AK649"/>
    <mergeCell ref="AH650:AK650"/>
    <mergeCell ref="AH651:AK651"/>
    <mergeCell ref="AH642:AK642"/>
    <mergeCell ref="AH643:AK643"/>
    <mergeCell ref="AH644:AK644"/>
    <mergeCell ref="AH645:AK645"/>
    <mergeCell ref="AH646:AK646"/>
    <mergeCell ref="AH637:AK637"/>
    <mergeCell ref="AH638:AK638"/>
    <mergeCell ref="AH639:AK639"/>
    <mergeCell ref="AH640:AK640"/>
    <mergeCell ref="AH641:AK641"/>
    <mergeCell ref="AH632:AK632"/>
    <mergeCell ref="AH633:AK633"/>
    <mergeCell ref="AH634:AK634"/>
    <mergeCell ref="AH635:AK635"/>
    <mergeCell ref="AH636:AK636"/>
    <mergeCell ref="AH627:AK627"/>
    <mergeCell ref="AH628:AK628"/>
    <mergeCell ref="AH629:AK629"/>
    <mergeCell ref="AH630:AK630"/>
    <mergeCell ref="AH631:AK631"/>
    <mergeCell ref="AH622:AK622"/>
    <mergeCell ref="AH623:AK623"/>
    <mergeCell ref="AH624:AK624"/>
    <mergeCell ref="AH625:AK625"/>
    <mergeCell ref="AH626:AK626"/>
    <mergeCell ref="AH617:AK617"/>
    <mergeCell ref="AH618:AK618"/>
    <mergeCell ref="AH619:AK619"/>
    <mergeCell ref="AH620:AK620"/>
    <mergeCell ref="AH621:AK621"/>
    <mergeCell ref="AH612:AK612"/>
    <mergeCell ref="AH613:AK613"/>
    <mergeCell ref="AH614:AK614"/>
    <mergeCell ref="AH615:AK615"/>
    <mergeCell ref="AH616:AK616"/>
    <mergeCell ref="AH607:AK607"/>
    <mergeCell ref="AH608:AK608"/>
    <mergeCell ref="AH609:AK609"/>
    <mergeCell ref="AH610:AK610"/>
    <mergeCell ref="AH611:AK611"/>
    <mergeCell ref="AH602:AK602"/>
    <mergeCell ref="AH603:AK603"/>
    <mergeCell ref="AH604:AK604"/>
    <mergeCell ref="AH605:AK605"/>
    <mergeCell ref="AH606:AK606"/>
    <mergeCell ref="AH597:AK597"/>
    <mergeCell ref="AH598:AK598"/>
    <mergeCell ref="AH599:AK599"/>
    <mergeCell ref="AH600:AK600"/>
    <mergeCell ref="AH601:AK601"/>
    <mergeCell ref="AH592:AK592"/>
    <mergeCell ref="AH593:AK593"/>
    <mergeCell ref="AH594:AK594"/>
    <mergeCell ref="AH595:AK595"/>
    <mergeCell ref="AH596:AK596"/>
    <mergeCell ref="AH587:AK587"/>
    <mergeCell ref="AH588:AK588"/>
    <mergeCell ref="AH589:AK589"/>
    <mergeCell ref="AH590:AK590"/>
    <mergeCell ref="AH591:AK591"/>
    <mergeCell ref="AH582:AK582"/>
    <mergeCell ref="AH583:AK583"/>
    <mergeCell ref="AH584:AK584"/>
    <mergeCell ref="AH585:AK585"/>
    <mergeCell ref="AH586:AK586"/>
    <mergeCell ref="AH577:AK577"/>
    <mergeCell ref="AH578:AK578"/>
    <mergeCell ref="AH579:AK579"/>
    <mergeCell ref="AH580:AK580"/>
    <mergeCell ref="AH581:AK581"/>
    <mergeCell ref="AH572:AK572"/>
    <mergeCell ref="AH573:AK573"/>
    <mergeCell ref="AH574:AK574"/>
    <mergeCell ref="AH575:AK575"/>
    <mergeCell ref="AH576:AK576"/>
    <mergeCell ref="AH567:AK567"/>
    <mergeCell ref="AH568:AK568"/>
    <mergeCell ref="AH569:AK569"/>
    <mergeCell ref="AH570:AK570"/>
    <mergeCell ref="AH571:AK571"/>
    <mergeCell ref="AH562:AK562"/>
    <mergeCell ref="AH563:AK563"/>
    <mergeCell ref="AH564:AK564"/>
    <mergeCell ref="AH565:AK565"/>
    <mergeCell ref="AH566:AK566"/>
    <mergeCell ref="AH557:AK557"/>
    <mergeCell ref="AH558:AK558"/>
    <mergeCell ref="AH559:AK559"/>
    <mergeCell ref="AH560:AK560"/>
    <mergeCell ref="AH561:AK561"/>
    <mergeCell ref="AH552:AK552"/>
    <mergeCell ref="AH553:AK553"/>
    <mergeCell ref="AH554:AK554"/>
    <mergeCell ref="AH555:AK555"/>
    <mergeCell ref="AH556:AK556"/>
    <mergeCell ref="AH547:AK547"/>
    <mergeCell ref="AH548:AK548"/>
    <mergeCell ref="AH549:AK549"/>
    <mergeCell ref="AH550:AK550"/>
    <mergeCell ref="AH551:AK551"/>
    <mergeCell ref="AH542:AK542"/>
    <mergeCell ref="AH543:AK543"/>
    <mergeCell ref="AH544:AK544"/>
    <mergeCell ref="AH545:AK545"/>
    <mergeCell ref="AH546:AK546"/>
    <mergeCell ref="AH537:AK537"/>
    <mergeCell ref="AH538:AK538"/>
    <mergeCell ref="AH539:AK539"/>
    <mergeCell ref="AH540:AK540"/>
    <mergeCell ref="AH541:AK541"/>
    <mergeCell ref="AH532:AK532"/>
    <mergeCell ref="AH533:AK533"/>
    <mergeCell ref="AH534:AK534"/>
    <mergeCell ref="AH535:AK535"/>
    <mergeCell ref="AH536:AK536"/>
    <mergeCell ref="AH527:AK527"/>
    <mergeCell ref="AH528:AK528"/>
    <mergeCell ref="AH529:AK529"/>
    <mergeCell ref="AH530:AK530"/>
    <mergeCell ref="AH531:AK531"/>
    <mergeCell ref="AH522:AK522"/>
    <mergeCell ref="AH523:AK523"/>
    <mergeCell ref="AH524:AK524"/>
    <mergeCell ref="AH525:AK525"/>
    <mergeCell ref="AH526:AK526"/>
    <mergeCell ref="AH517:AK517"/>
    <mergeCell ref="AH518:AK518"/>
    <mergeCell ref="AH519:AK519"/>
    <mergeCell ref="AH520:AK520"/>
    <mergeCell ref="AH521:AK521"/>
    <mergeCell ref="AH512:AK512"/>
    <mergeCell ref="AH513:AK513"/>
    <mergeCell ref="AH514:AK514"/>
    <mergeCell ref="AH515:AK515"/>
    <mergeCell ref="AH516:AK516"/>
    <mergeCell ref="AH507:AK507"/>
    <mergeCell ref="AH508:AK508"/>
    <mergeCell ref="AH509:AK509"/>
    <mergeCell ref="AH510:AK510"/>
    <mergeCell ref="AH511:AK511"/>
    <mergeCell ref="AH502:AK502"/>
    <mergeCell ref="AH503:AK503"/>
    <mergeCell ref="AH504:AK504"/>
    <mergeCell ref="AH505:AK505"/>
    <mergeCell ref="AH506:AK506"/>
    <mergeCell ref="AH497:AK497"/>
    <mergeCell ref="AH498:AK498"/>
    <mergeCell ref="AH499:AK499"/>
    <mergeCell ref="AH500:AK500"/>
    <mergeCell ref="AH501:AK501"/>
    <mergeCell ref="AH492:AK492"/>
    <mergeCell ref="AH493:AK493"/>
    <mergeCell ref="AH494:AK494"/>
    <mergeCell ref="AH495:AK495"/>
    <mergeCell ref="AH496:AK496"/>
    <mergeCell ref="AH487:AK487"/>
    <mergeCell ref="AH488:AK488"/>
    <mergeCell ref="AH489:AK489"/>
    <mergeCell ref="AH490:AK490"/>
    <mergeCell ref="AH491:AK491"/>
    <mergeCell ref="AH482:AK482"/>
    <mergeCell ref="AH483:AK483"/>
    <mergeCell ref="AH484:AK484"/>
    <mergeCell ref="AH485:AK485"/>
    <mergeCell ref="AH486:AK486"/>
    <mergeCell ref="AH477:AK477"/>
    <mergeCell ref="AH478:AK478"/>
    <mergeCell ref="AH479:AK479"/>
    <mergeCell ref="AH480:AK480"/>
    <mergeCell ref="AH481:AK481"/>
    <mergeCell ref="AH472:AK472"/>
    <mergeCell ref="AH473:AK473"/>
    <mergeCell ref="AH474:AK474"/>
    <mergeCell ref="AH475:AK475"/>
    <mergeCell ref="AH476:AK476"/>
    <mergeCell ref="AH467:AK467"/>
    <mergeCell ref="AH468:AK468"/>
    <mergeCell ref="AH469:AK469"/>
    <mergeCell ref="AH470:AK470"/>
    <mergeCell ref="AH471:AK471"/>
    <mergeCell ref="AH462:AK462"/>
    <mergeCell ref="AH463:AK463"/>
    <mergeCell ref="AH464:AK464"/>
    <mergeCell ref="AH465:AK465"/>
    <mergeCell ref="AH466:AK466"/>
    <mergeCell ref="AH457:AK457"/>
    <mergeCell ref="AH458:AK458"/>
    <mergeCell ref="AH459:AK459"/>
    <mergeCell ref="AH460:AK460"/>
    <mergeCell ref="AH461:AK461"/>
    <mergeCell ref="AH452:AK452"/>
    <mergeCell ref="AH453:AK453"/>
    <mergeCell ref="AH454:AK454"/>
    <mergeCell ref="AH455:AK455"/>
    <mergeCell ref="AH456:AK456"/>
    <mergeCell ref="AH447:AK447"/>
    <mergeCell ref="AH448:AK448"/>
    <mergeCell ref="AH449:AK449"/>
    <mergeCell ref="AH450:AK450"/>
    <mergeCell ref="AH451:AK451"/>
    <mergeCell ref="AH442:AK442"/>
    <mergeCell ref="AH443:AK443"/>
    <mergeCell ref="AH444:AK444"/>
    <mergeCell ref="AH445:AK445"/>
    <mergeCell ref="AH446:AK446"/>
    <mergeCell ref="AH437:AK437"/>
    <mergeCell ref="AH438:AK438"/>
    <mergeCell ref="AH439:AK439"/>
    <mergeCell ref="AH440:AK440"/>
    <mergeCell ref="AH441:AK441"/>
    <mergeCell ref="AH432:AK432"/>
    <mergeCell ref="AH433:AK433"/>
    <mergeCell ref="AH434:AK434"/>
    <mergeCell ref="AH435:AK435"/>
    <mergeCell ref="AH436:AK436"/>
    <mergeCell ref="AH427:AK427"/>
    <mergeCell ref="AH428:AK428"/>
    <mergeCell ref="AH429:AK429"/>
    <mergeCell ref="AH430:AK430"/>
    <mergeCell ref="AH431:AK431"/>
    <mergeCell ref="AH422:AK422"/>
    <mergeCell ref="AH423:AK423"/>
    <mergeCell ref="AH424:AK424"/>
    <mergeCell ref="AH425:AK425"/>
    <mergeCell ref="AH426:AK426"/>
    <mergeCell ref="AH417:AK417"/>
    <mergeCell ref="AH418:AK418"/>
    <mergeCell ref="AH419:AK419"/>
    <mergeCell ref="AH420:AK420"/>
    <mergeCell ref="AH421:AK421"/>
    <mergeCell ref="AH412:AK412"/>
    <mergeCell ref="AH413:AK413"/>
    <mergeCell ref="AH414:AK414"/>
    <mergeCell ref="AH415:AK415"/>
    <mergeCell ref="AH416:AK416"/>
    <mergeCell ref="AH407:AK407"/>
    <mergeCell ref="AH408:AK408"/>
    <mergeCell ref="AH409:AK409"/>
    <mergeCell ref="AH410:AK410"/>
    <mergeCell ref="AH411:AK411"/>
    <mergeCell ref="AH402:AK402"/>
    <mergeCell ref="AH403:AK403"/>
    <mergeCell ref="AH404:AK404"/>
    <mergeCell ref="AH405:AK405"/>
    <mergeCell ref="AH406:AK406"/>
    <mergeCell ref="AH397:AK397"/>
    <mergeCell ref="AH398:AK398"/>
    <mergeCell ref="AH399:AK399"/>
    <mergeCell ref="AH400:AK400"/>
    <mergeCell ref="AH401:AK401"/>
    <mergeCell ref="AH392:AK392"/>
    <mergeCell ref="AH393:AK393"/>
    <mergeCell ref="AH394:AK394"/>
    <mergeCell ref="AH395:AK395"/>
    <mergeCell ref="AH396:AK396"/>
    <mergeCell ref="AH387:AK387"/>
    <mergeCell ref="AH388:AK388"/>
    <mergeCell ref="AH389:AK389"/>
    <mergeCell ref="AH390:AK390"/>
    <mergeCell ref="AH391:AK391"/>
    <mergeCell ref="AH382:AK382"/>
    <mergeCell ref="AH383:AK383"/>
    <mergeCell ref="AH384:AK384"/>
    <mergeCell ref="AH385:AK385"/>
    <mergeCell ref="AH386:AK386"/>
    <mergeCell ref="AH377:AK377"/>
    <mergeCell ref="AH378:AK378"/>
    <mergeCell ref="AH379:AK379"/>
    <mergeCell ref="AH380:AK380"/>
    <mergeCell ref="AH381:AK381"/>
    <mergeCell ref="AH372:AK372"/>
    <mergeCell ref="AH373:AK373"/>
    <mergeCell ref="AH374:AK374"/>
    <mergeCell ref="AH375:AK375"/>
    <mergeCell ref="AH376:AK376"/>
    <mergeCell ref="AH367:AK367"/>
    <mergeCell ref="AH368:AK368"/>
    <mergeCell ref="AH369:AK369"/>
    <mergeCell ref="AH370:AK370"/>
    <mergeCell ref="AH371:AK371"/>
    <mergeCell ref="AH362:AK362"/>
    <mergeCell ref="AH363:AK363"/>
    <mergeCell ref="AH364:AK364"/>
    <mergeCell ref="AH365:AK365"/>
    <mergeCell ref="AH366:AK366"/>
    <mergeCell ref="AH357:AK357"/>
    <mergeCell ref="AH358:AK358"/>
    <mergeCell ref="AH359:AK359"/>
    <mergeCell ref="AH360:AK360"/>
    <mergeCell ref="AH361:AK361"/>
    <mergeCell ref="AH352:AK352"/>
    <mergeCell ref="AH353:AK353"/>
    <mergeCell ref="AH354:AK354"/>
    <mergeCell ref="AH355:AK355"/>
    <mergeCell ref="AH356:AK356"/>
    <mergeCell ref="AH347:AK347"/>
    <mergeCell ref="AH348:AK348"/>
    <mergeCell ref="AH349:AK349"/>
    <mergeCell ref="AH350:AK350"/>
    <mergeCell ref="AH351:AK351"/>
    <mergeCell ref="AH342:AK342"/>
    <mergeCell ref="AH343:AK343"/>
    <mergeCell ref="AH344:AK344"/>
    <mergeCell ref="AH345:AK345"/>
    <mergeCell ref="AH346:AK346"/>
    <mergeCell ref="AH337:AK337"/>
    <mergeCell ref="AH338:AK338"/>
    <mergeCell ref="AH339:AK339"/>
    <mergeCell ref="AH340:AK340"/>
    <mergeCell ref="AH341:AK341"/>
    <mergeCell ref="AH332:AK332"/>
    <mergeCell ref="AH333:AK333"/>
    <mergeCell ref="AH334:AK334"/>
    <mergeCell ref="AH335:AK335"/>
    <mergeCell ref="AH336:AK336"/>
    <mergeCell ref="AH327:AK327"/>
    <mergeCell ref="AH328:AK328"/>
    <mergeCell ref="AH329:AK329"/>
    <mergeCell ref="AH330:AK330"/>
    <mergeCell ref="AH331:AK331"/>
    <mergeCell ref="AH322:AK322"/>
    <mergeCell ref="AH323:AK323"/>
    <mergeCell ref="AH324:AK324"/>
    <mergeCell ref="AH325:AK325"/>
    <mergeCell ref="AH326:AK326"/>
    <mergeCell ref="AH317:AK317"/>
    <mergeCell ref="AH318:AK318"/>
    <mergeCell ref="AH319:AK319"/>
    <mergeCell ref="AH320:AK320"/>
    <mergeCell ref="AH321:AK321"/>
    <mergeCell ref="AH312:AK312"/>
    <mergeCell ref="AH313:AK313"/>
    <mergeCell ref="AH314:AK314"/>
    <mergeCell ref="AH315:AK315"/>
    <mergeCell ref="AH316:AK316"/>
    <mergeCell ref="AH307:AK307"/>
    <mergeCell ref="AH308:AK308"/>
    <mergeCell ref="AH309:AK309"/>
    <mergeCell ref="AH310:AK310"/>
    <mergeCell ref="AH311:AK311"/>
    <mergeCell ref="AH302:AK302"/>
    <mergeCell ref="AH303:AK303"/>
    <mergeCell ref="AH304:AK304"/>
    <mergeCell ref="AH305:AK305"/>
    <mergeCell ref="AH306:AK306"/>
    <mergeCell ref="AH297:AK297"/>
    <mergeCell ref="AH298:AK298"/>
    <mergeCell ref="AH299:AK299"/>
    <mergeCell ref="AH300:AK300"/>
    <mergeCell ref="AH301:AK301"/>
    <mergeCell ref="AH292:AK292"/>
    <mergeCell ref="AH293:AK293"/>
    <mergeCell ref="AH294:AK294"/>
    <mergeCell ref="AH295:AK295"/>
    <mergeCell ref="AH296:AK296"/>
    <mergeCell ref="AH287:AK287"/>
    <mergeCell ref="AH288:AK288"/>
    <mergeCell ref="AH289:AK289"/>
    <mergeCell ref="AH290:AK290"/>
    <mergeCell ref="AH291:AK291"/>
    <mergeCell ref="AH282:AK282"/>
    <mergeCell ref="AH283:AK283"/>
    <mergeCell ref="AH284:AK284"/>
    <mergeCell ref="AH285:AK285"/>
    <mergeCell ref="AH286:AK286"/>
    <mergeCell ref="AH277:AK277"/>
    <mergeCell ref="AH278:AK278"/>
    <mergeCell ref="AH279:AK279"/>
    <mergeCell ref="AH280:AK280"/>
    <mergeCell ref="AH281:AK281"/>
    <mergeCell ref="AH272:AK272"/>
    <mergeCell ref="AH273:AK273"/>
    <mergeCell ref="AH274:AK274"/>
    <mergeCell ref="AH275:AK275"/>
    <mergeCell ref="AH276:AK276"/>
    <mergeCell ref="AH267:AK267"/>
    <mergeCell ref="AH268:AK268"/>
    <mergeCell ref="AH269:AK269"/>
    <mergeCell ref="AH270:AK270"/>
    <mergeCell ref="AH271:AK271"/>
    <mergeCell ref="AH262:AK262"/>
    <mergeCell ref="AH263:AK263"/>
    <mergeCell ref="AH264:AK264"/>
    <mergeCell ref="AH265:AK265"/>
    <mergeCell ref="AH266:AK266"/>
    <mergeCell ref="AH257:AK257"/>
    <mergeCell ref="AH258:AK258"/>
    <mergeCell ref="AH259:AK259"/>
    <mergeCell ref="AH260:AK260"/>
    <mergeCell ref="AH261:AK261"/>
    <mergeCell ref="AH252:AK252"/>
    <mergeCell ref="AH253:AK253"/>
    <mergeCell ref="AH254:AK254"/>
    <mergeCell ref="AH255:AK255"/>
    <mergeCell ref="AH256:AK256"/>
    <mergeCell ref="AH247:AK247"/>
    <mergeCell ref="AH248:AK248"/>
    <mergeCell ref="AH249:AK249"/>
    <mergeCell ref="AH250:AK250"/>
    <mergeCell ref="AH251:AK251"/>
    <mergeCell ref="AH242:AK242"/>
    <mergeCell ref="AH243:AK243"/>
    <mergeCell ref="AH244:AK244"/>
    <mergeCell ref="AH245:AK245"/>
    <mergeCell ref="AH246:AK246"/>
    <mergeCell ref="AH237:AK237"/>
    <mergeCell ref="AH238:AK238"/>
    <mergeCell ref="AH239:AK239"/>
    <mergeCell ref="AH240:AK240"/>
    <mergeCell ref="AH241:AK241"/>
    <mergeCell ref="AH232:AK232"/>
    <mergeCell ref="AH233:AK233"/>
    <mergeCell ref="AH234:AK234"/>
    <mergeCell ref="AH235:AK235"/>
    <mergeCell ref="AH236:AK236"/>
    <mergeCell ref="AH227:AK227"/>
    <mergeCell ref="AH228:AK228"/>
    <mergeCell ref="AH229:AK229"/>
    <mergeCell ref="AH230:AK230"/>
    <mergeCell ref="AH231:AK231"/>
    <mergeCell ref="AH222:AK222"/>
    <mergeCell ref="AH223:AK223"/>
    <mergeCell ref="AH224:AK224"/>
    <mergeCell ref="AH225:AK225"/>
    <mergeCell ref="AH226:AK226"/>
    <mergeCell ref="AH217:AK217"/>
    <mergeCell ref="AH218:AK218"/>
    <mergeCell ref="AH219:AK219"/>
    <mergeCell ref="AH220:AK220"/>
    <mergeCell ref="AH221:AK221"/>
    <mergeCell ref="AH212:AK212"/>
    <mergeCell ref="AH213:AK213"/>
    <mergeCell ref="AH214:AK214"/>
    <mergeCell ref="AH215:AK215"/>
    <mergeCell ref="AH216:AK216"/>
    <mergeCell ref="AH207:AK207"/>
    <mergeCell ref="AH208:AK208"/>
    <mergeCell ref="AH209:AK209"/>
    <mergeCell ref="AH210:AK210"/>
    <mergeCell ref="AH211:AK211"/>
    <mergeCell ref="AH202:AK202"/>
    <mergeCell ref="AH203:AK203"/>
    <mergeCell ref="AH204:AK204"/>
    <mergeCell ref="AH205:AK205"/>
    <mergeCell ref="AH206:AK206"/>
    <mergeCell ref="AH197:AK197"/>
    <mergeCell ref="AH198:AK198"/>
    <mergeCell ref="AH199:AK199"/>
    <mergeCell ref="AH200:AK200"/>
    <mergeCell ref="AH201:AK201"/>
    <mergeCell ref="AH192:AK192"/>
    <mergeCell ref="AH193:AK193"/>
    <mergeCell ref="AH194:AK194"/>
    <mergeCell ref="AH195:AK195"/>
    <mergeCell ref="AH196:AK196"/>
    <mergeCell ref="AH187:AK187"/>
    <mergeCell ref="AH188:AK188"/>
    <mergeCell ref="AH189:AK189"/>
    <mergeCell ref="AH190:AK190"/>
    <mergeCell ref="AH191:AK191"/>
    <mergeCell ref="AH182:AK182"/>
    <mergeCell ref="AH183:AK183"/>
    <mergeCell ref="AH184:AK184"/>
    <mergeCell ref="AH185:AK185"/>
    <mergeCell ref="AH186:AK186"/>
    <mergeCell ref="AH177:AK177"/>
    <mergeCell ref="AH178:AK178"/>
    <mergeCell ref="AH179:AK179"/>
    <mergeCell ref="AH180:AK180"/>
    <mergeCell ref="AH181:AK181"/>
    <mergeCell ref="AH172:AK172"/>
    <mergeCell ref="AH173:AK173"/>
    <mergeCell ref="AH174:AK174"/>
    <mergeCell ref="AH175:AK175"/>
    <mergeCell ref="AH176:AK176"/>
    <mergeCell ref="AH167:AK167"/>
    <mergeCell ref="AH168:AK168"/>
    <mergeCell ref="AH169:AK169"/>
    <mergeCell ref="AH170:AK170"/>
    <mergeCell ref="AH171:AK171"/>
    <mergeCell ref="AH162:AK162"/>
    <mergeCell ref="AH163:AK163"/>
    <mergeCell ref="AH164:AK164"/>
    <mergeCell ref="AH165:AK165"/>
    <mergeCell ref="AH166:AK166"/>
    <mergeCell ref="AH157:AK157"/>
    <mergeCell ref="AH158:AK158"/>
    <mergeCell ref="AH159:AK159"/>
    <mergeCell ref="AH160:AK160"/>
    <mergeCell ref="AH161:AK161"/>
    <mergeCell ref="AH152:AK152"/>
    <mergeCell ref="AH153:AK153"/>
    <mergeCell ref="AH154:AK154"/>
    <mergeCell ref="AH155:AK155"/>
    <mergeCell ref="AH156:AK156"/>
    <mergeCell ref="AH147:AK147"/>
    <mergeCell ref="AH148:AK148"/>
    <mergeCell ref="AH149:AK149"/>
    <mergeCell ref="AH150:AK150"/>
    <mergeCell ref="AH151:AK151"/>
    <mergeCell ref="AH142:AK142"/>
    <mergeCell ref="AH143:AK143"/>
    <mergeCell ref="AH144:AK144"/>
    <mergeCell ref="AH145:AK145"/>
    <mergeCell ref="AH146:AK146"/>
    <mergeCell ref="AH137:AK137"/>
    <mergeCell ref="AH138:AK138"/>
    <mergeCell ref="AH139:AK139"/>
    <mergeCell ref="AH140:AK140"/>
    <mergeCell ref="AH141:AK141"/>
    <mergeCell ref="AH132:AK132"/>
    <mergeCell ref="AH133:AK133"/>
    <mergeCell ref="AH134:AK134"/>
    <mergeCell ref="AH135:AK135"/>
    <mergeCell ref="AH136:AK136"/>
    <mergeCell ref="AH127:AK127"/>
    <mergeCell ref="AH128:AK128"/>
    <mergeCell ref="AH129:AK129"/>
    <mergeCell ref="AH130:AK130"/>
    <mergeCell ref="AH131:AK131"/>
    <mergeCell ref="AH122:AK122"/>
    <mergeCell ref="AH123:AK123"/>
    <mergeCell ref="AH124:AK124"/>
    <mergeCell ref="AH125:AK125"/>
    <mergeCell ref="AH126:AK126"/>
    <mergeCell ref="AH117:AK117"/>
    <mergeCell ref="AH118:AK118"/>
    <mergeCell ref="AH119:AK119"/>
    <mergeCell ref="AH120:AK120"/>
    <mergeCell ref="AH121:AK121"/>
    <mergeCell ref="AH112:AK112"/>
    <mergeCell ref="AH113:AK113"/>
    <mergeCell ref="AH114:AK114"/>
    <mergeCell ref="AH115:AK115"/>
    <mergeCell ref="AH116:AK116"/>
    <mergeCell ref="AH107:AK107"/>
    <mergeCell ref="AH108:AK108"/>
    <mergeCell ref="AH109:AK109"/>
    <mergeCell ref="AH110:AK110"/>
    <mergeCell ref="AH111:AK111"/>
    <mergeCell ref="AH102:AK102"/>
    <mergeCell ref="AH103:AK103"/>
    <mergeCell ref="AH104:AK104"/>
    <mergeCell ref="AH105:AK105"/>
    <mergeCell ref="AH106:AK106"/>
    <mergeCell ref="AH97:AK97"/>
    <mergeCell ref="AH98:AK98"/>
    <mergeCell ref="AH99:AK99"/>
    <mergeCell ref="AH100:AK100"/>
    <mergeCell ref="AH101:AK101"/>
    <mergeCell ref="AH92:AK92"/>
    <mergeCell ref="AH93:AK93"/>
    <mergeCell ref="AH94:AK94"/>
    <mergeCell ref="AH95:AK95"/>
    <mergeCell ref="AH96:AK96"/>
    <mergeCell ref="AH87:AK87"/>
    <mergeCell ref="AH88:AK88"/>
    <mergeCell ref="AH89:AK89"/>
    <mergeCell ref="AH90:AK90"/>
    <mergeCell ref="AH91:AK91"/>
    <mergeCell ref="AH82:AK82"/>
    <mergeCell ref="AH83:AK83"/>
    <mergeCell ref="AH84:AK84"/>
    <mergeCell ref="AH85:AK85"/>
    <mergeCell ref="AH86:AK86"/>
    <mergeCell ref="AH77:AK77"/>
    <mergeCell ref="AH78:AK78"/>
    <mergeCell ref="AH79:AK79"/>
    <mergeCell ref="AH80:AK80"/>
    <mergeCell ref="AH81:AK81"/>
    <mergeCell ref="AH72:AK72"/>
    <mergeCell ref="AH73:AK73"/>
    <mergeCell ref="AH74:AK74"/>
    <mergeCell ref="AH75:AK75"/>
    <mergeCell ref="AH76:AK76"/>
    <mergeCell ref="AH67:AK67"/>
    <mergeCell ref="AH68:AK68"/>
    <mergeCell ref="AH69:AK69"/>
    <mergeCell ref="AH70:AK70"/>
    <mergeCell ref="AH71:AK71"/>
    <mergeCell ref="AH62:AK62"/>
    <mergeCell ref="AH63:AK63"/>
    <mergeCell ref="AH64:AK64"/>
    <mergeCell ref="AH65:AK65"/>
    <mergeCell ref="AH66:AK66"/>
    <mergeCell ref="AH57:AK57"/>
    <mergeCell ref="AH58:AK58"/>
    <mergeCell ref="AH59:AK59"/>
    <mergeCell ref="AH60:AK60"/>
    <mergeCell ref="AH61:AK61"/>
    <mergeCell ref="AH52:AK52"/>
    <mergeCell ref="AH53:AK53"/>
    <mergeCell ref="AH54:AK54"/>
    <mergeCell ref="AH55:AK55"/>
    <mergeCell ref="AH56:AK56"/>
    <mergeCell ref="AH47:AK47"/>
    <mergeCell ref="AH48:AK48"/>
    <mergeCell ref="AH49:AK49"/>
    <mergeCell ref="AH50:AK50"/>
    <mergeCell ref="AH51:AK51"/>
    <mergeCell ref="AH42:AK42"/>
    <mergeCell ref="AH43:AK43"/>
    <mergeCell ref="AH44:AK44"/>
    <mergeCell ref="AH45:AK45"/>
    <mergeCell ref="AH46:AK46"/>
    <mergeCell ref="AH37:AK37"/>
    <mergeCell ref="AH38:AK38"/>
    <mergeCell ref="AH39:AK39"/>
    <mergeCell ref="AH40:AK40"/>
    <mergeCell ref="AH41:AK41"/>
    <mergeCell ref="AH32:AK32"/>
    <mergeCell ref="AH33:AK33"/>
    <mergeCell ref="AH34:AK34"/>
    <mergeCell ref="AH35:AK35"/>
    <mergeCell ref="AH36:AK36"/>
    <mergeCell ref="AH27:AK27"/>
    <mergeCell ref="AH28:AK28"/>
    <mergeCell ref="AH29:AK29"/>
    <mergeCell ref="AH30:AK30"/>
    <mergeCell ref="AH31:AK31"/>
    <mergeCell ref="AH22:AK22"/>
    <mergeCell ref="AH23:AK23"/>
    <mergeCell ref="AH24:AK24"/>
    <mergeCell ref="AH25:AK25"/>
    <mergeCell ref="AH26:AK26"/>
    <mergeCell ref="AH17:AK17"/>
    <mergeCell ref="AH18:AK18"/>
    <mergeCell ref="AH19:AK19"/>
    <mergeCell ref="AH20:AK20"/>
    <mergeCell ref="AH21:AK21"/>
    <mergeCell ref="AH12:AK12"/>
    <mergeCell ref="AH13:AK13"/>
    <mergeCell ref="AH14:AK14"/>
    <mergeCell ref="AH15:AK15"/>
    <mergeCell ref="AH16:AK16"/>
    <mergeCell ref="AH7:AK7"/>
    <mergeCell ref="AH8:AK8"/>
    <mergeCell ref="AH9:AK9"/>
    <mergeCell ref="AH10:AK10"/>
    <mergeCell ref="AH11:AK11"/>
    <mergeCell ref="AE994:AG994"/>
    <mergeCell ref="AE995:AG995"/>
    <mergeCell ref="AE974:AG974"/>
    <mergeCell ref="AE975:AG975"/>
    <mergeCell ref="AE976:AG976"/>
    <mergeCell ref="AE977:AG977"/>
    <mergeCell ref="AE978:AG978"/>
    <mergeCell ref="AE969:AG969"/>
    <mergeCell ref="AE970:AG970"/>
    <mergeCell ref="AE971:AG971"/>
    <mergeCell ref="AE972:AG972"/>
    <mergeCell ref="AE973:AG973"/>
    <mergeCell ref="AE964:AG964"/>
    <mergeCell ref="AE965:AG965"/>
    <mergeCell ref="AE966:AG966"/>
    <mergeCell ref="AE967:AG967"/>
    <mergeCell ref="AE968:AG968"/>
    <mergeCell ref="AE996:AG996"/>
    <mergeCell ref="AE997:AG997"/>
    <mergeCell ref="AE998:AG998"/>
    <mergeCell ref="AE989:AG989"/>
    <mergeCell ref="AE990:AG990"/>
    <mergeCell ref="AE991:AG991"/>
    <mergeCell ref="AE992:AG992"/>
    <mergeCell ref="AE993:AG993"/>
    <mergeCell ref="AE984:AG984"/>
    <mergeCell ref="AE985:AG985"/>
    <mergeCell ref="AE986:AG986"/>
    <mergeCell ref="AE987:AG987"/>
    <mergeCell ref="AE988:AG988"/>
    <mergeCell ref="AE979:AG979"/>
    <mergeCell ref="AE980:AG980"/>
    <mergeCell ref="AE981:AG981"/>
    <mergeCell ref="AE982:AG982"/>
    <mergeCell ref="AE983:AG983"/>
    <mergeCell ref="AE959:AG959"/>
    <mergeCell ref="AE960:AG960"/>
    <mergeCell ref="AE961:AG961"/>
    <mergeCell ref="AE962:AG962"/>
    <mergeCell ref="AE963:AG963"/>
    <mergeCell ref="AE954:AG954"/>
    <mergeCell ref="AE955:AG955"/>
    <mergeCell ref="AE956:AG956"/>
    <mergeCell ref="AE957:AG957"/>
    <mergeCell ref="AE958:AG958"/>
    <mergeCell ref="AE949:AG949"/>
    <mergeCell ref="AE950:AG950"/>
    <mergeCell ref="AE951:AG951"/>
    <mergeCell ref="AE952:AG952"/>
    <mergeCell ref="AE953:AG953"/>
    <mergeCell ref="AE944:AG944"/>
    <mergeCell ref="AE945:AG945"/>
    <mergeCell ref="AE946:AG946"/>
    <mergeCell ref="AE947:AG947"/>
    <mergeCell ref="AE948:AG948"/>
    <mergeCell ref="AE939:AG939"/>
    <mergeCell ref="AE940:AG940"/>
    <mergeCell ref="AE941:AG941"/>
    <mergeCell ref="AE942:AG942"/>
    <mergeCell ref="AE943:AG943"/>
    <mergeCell ref="AE934:AG934"/>
    <mergeCell ref="AE935:AG935"/>
    <mergeCell ref="AE936:AG936"/>
    <mergeCell ref="AE937:AG937"/>
    <mergeCell ref="AE938:AG938"/>
    <mergeCell ref="AE929:AG929"/>
    <mergeCell ref="AE930:AG930"/>
    <mergeCell ref="AE931:AG931"/>
    <mergeCell ref="AE932:AG932"/>
    <mergeCell ref="AE933:AG933"/>
    <mergeCell ref="AE924:AG924"/>
    <mergeCell ref="AE925:AG925"/>
    <mergeCell ref="AE926:AG926"/>
    <mergeCell ref="AE927:AG927"/>
    <mergeCell ref="AE928:AG928"/>
    <mergeCell ref="AE919:AG919"/>
    <mergeCell ref="AE920:AG920"/>
    <mergeCell ref="AE921:AG921"/>
    <mergeCell ref="AE922:AG922"/>
    <mergeCell ref="AE923:AG923"/>
    <mergeCell ref="AE914:AG914"/>
    <mergeCell ref="AE915:AG915"/>
    <mergeCell ref="AE916:AG916"/>
    <mergeCell ref="AE917:AG917"/>
    <mergeCell ref="AE918:AG918"/>
    <mergeCell ref="AE909:AG909"/>
    <mergeCell ref="AE910:AG910"/>
    <mergeCell ref="AE911:AG911"/>
    <mergeCell ref="AE912:AG912"/>
    <mergeCell ref="AE913:AG913"/>
    <mergeCell ref="AE904:AG904"/>
    <mergeCell ref="AE905:AG905"/>
    <mergeCell ref="AE906:AG906"/>
    <mergeCell ref="AE907:AG907"/>
    <mergeCell ref="AE908:AG908"/>
    <mergeCell ref="AE899:AG899"/>
    <mergeCell ref="AE900:AG900"/>
    <mergeCell ref="AE901:AG901"/>
    <mergeCell ref="AE902:AG902"/>
    <mergeCell ref="AE903:AG903"/>
    <mergeCell ref="AE894:AG894"/>
    <mergeCell ref="AE895:AG895"/>
    <mergeCell ref="AE896:AG896"/>
    <mergeCell ref="AE897:AG897"/>
    <mergeCell ref="AE898:AG898"/>
    <mergeCell ref="AE889:AG889"/>
    <mergeCell ref="AE890:AG890"/>
    <mergeCell ref="AE891:AG891"/>
    <mergeCell ref="AE892:AG892"/>
    <mergeCell ref="AE893:AG893"/>
    <mergeCell ref="AE884:AG884"/>
    <mergeCell ref="AE885:AG885"/>
    <mergeCell ref="AE886:AG886"/>
    <mergeCell ref="AE887:AG887"/>
    <mergeCell ref="AE888:AG888"/>
    <mergeCell ref="AE879:AG879"/>
    <mergeCell ref="AE880:AG880"/>
    <mergeCell ref="AE881:AG881"/>
    <mergeCell ref="AE882:AG882"/>
    <mergeCell ref="AE883:AG883"/>
    <mergeCell ref="AE874:AG874"/>
    <mergeCell ref="AE875:AG875"/>
    <mergeCell ref="AE876:AG876"/>
    <mergeCell ref="AE877:AG877"/>
    <mergeCell ref="AE878:AG878"/>
    <mergeCell ref="AE869:AG869"/>
    <mergeCell ref="AE870:AG870"/>
    <mergeCell ref="AE871:AG871"/>
    <mergeCell ref="AE872:AG872"/>
    <mergeCell ref="AE873:AG873"/>
    <mergeCell ref="AE864:AG864"/>
    <mergeCell ref="AE865:AG865"/>
    <mergeCell ref="AE866:AG866"/>
    <mergeCell ref="AE867:AG867"/>
    <mergeCell ref="AE868:AG868"/>
    <mergeCell ref="AE859:AG859"/>
    <mergeCell ref="AE860:AG860"/>
    <mergeCell ref="AE861:AG861"/>
    <mergeCell ref="AE862:AG862"/>
    <mergeCell ref="AE863:AG863"/>
    <mergeCell ref="AE854:AG854"/>
    <mergeCell ref="AE855:AG855"/>
    <mergeCell ref="AE856:AG856"/>
    <mergeCell ref="AE857:AG857"/>
    <mergeCell ref="AE858:AG858"/>
    <mergeCell ref="AE849:AG849"/>
    <mergeCell ref="AE850:AG850"/>
    <mergeCell ref="AE851:AG851"/>
    <mergeCell ref="AE852:AG852"/>
    <mergeCell ref="AE853:AG853"/>
    <mergeCell ref="AE844:AG844"/>
    <mergeCell ref="AE845:AG845"/>
    <mergeCell ref="AE846:AG846"/>
    <mergeCell ref="AE847:AG847"/>
    <mergeCell ref="AE848:AG848"/>
    <mergeCell ref="AE839:AG839"/>
    <mergeCell ref="AE840:AG840"/>
    <mergeCell ref="AE841:AG841"/>
    <mergeCell ref="AE842:AG842"/>
    <mergeCell ref="AE843:AG843"/>
    <mergeCell ref="AE834:AG834"/>
    <mergeCell ref="AE835:AG835"/>
    <mergeCell ref="AE836:AG836"/>
    <mergeCell ref="AE837:AG837"/>
    <mergeCell ref="AE838:AG838"/>
    <mergeCell ref="AE829:AG829"/>
    <mergeCell ref="AE830:AG830"/>
    <mergeCell ref="AE831:AG831"/>
    <mergeCell ref="AE832:AG832"/>
    <mergeCell ref="AE833:AG833"/>
    <mergeCell ref="AE824:AG824"/>
    <mergeCell ref="AE825:AG825"/>
    <mergeCell ref="AE826:AG826"/>
    <mergeCell ref="AE827:AG827"/>
    <mergeCell ref="AE828:AG828"/>
    <mergeCell ref="AE819:AG819"/>
    <mergeCell ref="AE820:AG820"/>
    <mergeCell ref="AE821:AG821"/>
    <mergeCell ref="AE822:AG822"/>
    <mergeCell ref="AE823:AG823"/>
    <mergeCell ref="AE814:AG814"/>
    <mergeCell ref="AE815:AG815"/>
    <mergeCell ref="AE816:AG816"/>
    <mergeCell ref="AE817:AG817"/>
    <mergeCell ref="AE818:AG818"/>
    <mergeCell ref="AE809:AG809"/>
    <mergeCell ref="AE810:AG810"/>
    <mergeCell ref="AE811:AG811"/>
    <mergeCell ref="AE812:AG812"/>
    <mergeCell ref="AE813:AG813"/>
    <mergeCell ref="AE804:AG804"/>
    <mergeCell ref="AE805:AG805"/>
    <mergeCell ref="AE806:AG806"/>
    <mergeCell ref="AE807:AG807"/>
    <mergeCell ref="AE808:AG808"/>
    <mergeCell ref="AE799:AG799"/>
    <mergeCell ref="AE800:AG800"/>
    <mergeCell ref="AE801:AG801"/>
    <mergeCell ref="AE802:AG802"/>
    <mergeCell ref="AE803:AG803"/>
    <mergeCell ref="AE794:AG794"/>
    <mergeCell ref="AE795:AG795"/>
    <mergeCell ref="AE796:AG796"/>
    <mergeCell ref="AE797:AG797"/>
    <mergeCell ref="AE798:AG798"/>
    <mergeCell ref="AE789:AG789"/>
    <mergeCell ref="AE790:AG790"/>
    <mergeCell ref="AE791:AG791"/>
    <mergeCell ref="AE792:AG792"/>
    <mergeCell ref="AE793:AG793"/>
    <mergeCell ref="AE784:AG784"/>
    <mergeCell ref="AE785:AG785"/>
    <mergeCell ref="AE786:AG786"/>
    <mergeCell ref="AE787:AG787"/>
    <mergeCell ref="AE788:AG788"/>
    <mergeCell ref="AE779:AG779"/>
    <mergeCell ref="AE780:AG780"/>
    <mergeCell ref="AE781:AG781"/>
    <mergeCell ref="AE782:AG782"/>
    <mergeCell ref="AE783:AG783"/>
    <mergeCell ref="AE774:AG774"/>
    <mergeCell ref="AE775:AG775"/>
    <mergeCell ref="AE776:AG776"/>
    <mergeCell ref="AE777:AG777"/>
    <mergeCell ref="AE778:AG778"/>
    <mergeCell ref="AE769:AG769"/>
    <mergeCell ref="AE770:AG770"/>
    <mergeCell ref="AE771:AG771"/>
    <mergeCell ref="AE772:AG772"/>
    <mergeCell ref="AE773:AG773"/>
    <mergeCell ref="AE764:AG764"/>
    <mergeCell ref="AE765:AG765"/>
    <mergeCell ref="AE766:AG766"/>
    <mergeCell ref="AE767:AG767"/>
    <mergeCell ref="AE768:AG768"/>
    <mergeCell ref="AE759:AG759"/>
    <mergeCell ref="AE760:AG760"/>
    <mergeCell ref="AE761:AG761"/>
    <mergeCell ref="AE762:AG762"/>
    <mergeCell ref="AE763:AG763"/>
    <mergeCell ref="AE754:AG754"/>
    <mergeCell ref="AE755:AG755"/>
    <mergeCell ref="AE756:AG756"/>
    <mergeCell ref="AE757:AG757"/>
    <mergeCell ref="AE758:AG758"/>
    <mergeCell ref="AE749:AG749"/>
    <mergeCell ref="AE750:AG750"/>
    <mergeCell ref="AE751:AG751"/>
    <mergeCell ref="AE752:AG752"/>
    <mergeCell ref="AE753:AG753"/>
    <mergeCell ref="AE744:AG744"/>
    <mergeCell ref="AE745:AG745"/>
    <mergeCell ref="AE746:AG746"/>
    <mergeCell ref="AE747:AG747"/>
    <mergeCell ref="AE748:AG748"/>
    <mergeCell ref="AE739:AG739"/>
    <mergeCell ref="AE740:AG740"/>
    <mergeCell ref="AE741:AG741"/>
    <mergeCell ref="AE742:AG742"/>
    <mergeCell ref="AE743:AG743"/>
    <mergeCell ref="AE734:AG734"/>
    <mergeCell ref="AE735:AG735"/>
    <mergeCell ref="AE736:AG736"/>
    <mergeCell ref="AE737:AG737"/>
    <mergeCell ref="AE738:AG738"/>
    <mergeCell ref="AE729:AG729"/>
    <mergeCell ref="AE730:AG730"/>
    <mergeCell ref="AE731:AG731"/>
    <mergeCell ref="AE732:AG732"/>
    <mergeCell ref="AE733:AG733"/>
    <mergeCell ref="AE724:AG724"/>
    <mergeCell ref="AE725:AG725"/>
    <mergeCell ref="AE726:AG726"/>
    <mergeCell ref="AE727:AG727"/>
    <mergeCell ref="AE728:AG728"/>
    <mergeCell ref="AE719:AG719"/>
    <mergeCell ref="AE720:AG720"/>
    <mergeCell ref="AE721:AG721"/>
    <mergeCell ref="AE722:AG722"/>
    <mergeCell ref="AE723:AG723"/>
    <mergeCell ref="AE714:AG714"/>
    <mergeCell ref="AE715:AG715"/>
    <mergeCell ref="AE716:AG716"/>
    <mergeCell ref="AE717:AG717"/>
    <mergeCell ref="AE718:AG718"/>
    <mergeCell ref="AE709:AG709"/>
    <mergeCell ref="AE710:AG710"/>
    <mergeCell ref="AE711:AG711"/>
    <mergeCell ref="AE712:AG712"/>
    <mergeCell ref="AE713:AG713"/>
    <mergeCell ref="AE704:AG704"/>
    <mergeCell ref="AE705:AG705"/>
    <mergeCell ref="AE706:AG706"/>
    <mergeCell ref="AE707:AG707"/>
    <mergeCell ref="AE708:AG708"/>
    <mergeCell ref="AE699:AG699"/>
    <mergeCell ref="AE700:AG700"/>
    <mergeCell ref="AE701:AG701"/>
    <mergeCell ref="AE702:AG702"/>
    <mergeCell ref="AE703:AG703"/>
    <mergeCell ref="AE694:AG694"/>
    <mergeCell ref="AE695:AG695"/>
    <mergeCell ref="AE696:AG696"/>
    <mergeCell ref="AE697:AG697"/>
    <mergeCell ref="AE698:AG698"/>
    <mergeCell ref="AE689:AG689"/>
    <mergeCell ref="AE690:AG690"/>
    <mergeCell ref="AE691:AG691"/>
    <mergeCell ref="AE692:AG692"/>
    <mergeCell ref="AE693:AG693"/>
    <mergeCell ref="AE684:AG684"/>
    <mergeCell ref="AE685:AG685"/>
    <mergeCell ref="AE686:AG686"/>
    <mergeCell ref="AE687:AG687"/>
    <mergeCell ref="AE688:AG688"/>
    <mergeCell ref="AE679:AG679"/>
    <mergeCell ref="AE680:AG680"/>
    <mergeCell ref="AE681:AG681"/>
    <mergeCell ref="AE682:AG682"/>
    <mergeCell ref="AE683:AG683"/>
    <mergeCell ref="AE674:AG674"/>
    <mergeCell ref="AE675:AG675"/>
    <mergeCell ref="AE676:AG676"/>
    <mergeCell ref="AE677:AG677"/>
    <mergeCell ref="AE678:AG678"/>
    <mergeCell ref="AE669:AG669"/>
    <mergeCell ref="AE670:AG670"/>
    <mergeCell ref="AE671:AG671"/>
    <mergeCell ref="AE672:AG672"/>
    <mergeCell ref="AE673:AG673"/>
    <mergeCell ref="AE664:AG664"/>
    <mergeCell ref="AE665:AG665"/>
    <mergeCell ref="AE666:AG666"/>
    <mergeCell ref="AE667:AG667"/>
    <mergeCell ref="AE668:AG668"/>
    <mergeCell ref="AE659:AG659"/>
    <mergeCell ref="AE660:AG660"/>
    <mergeCell ref="AE661:AG661"/>
    <mergeCell ref="AE662:AG662"/>
    <mergeCell ref="AE663:AG663"/>
    <mergeCell ref="AE654:AG654"/>
    <mergeCell ref="AE655:AG655"/>
    <mergeCell ref="AE656:AG656"/>
    <mergeCell ref="AE657:AG657"/>
    <mergeCell ref="AE658:AG658"/>
    <mergeCell ref="AE649:AG649"/>
    <mergeCell ref="AE650:AG650"/>
    <mergeCell ref="AE651:AG651"/>
    <mergeCell ref="AE652:AG652"/>
    <mergeCell ref="AE653:AG653"/>
    <mergeCell ref="AE644:AG644"/>
    <mergeCell ref="AE645:AG645"/>
    <mergeCell ref="AE646:AG646"/>
    <mergeCell ref="AE647:AG647"/>
    <mergeCell ref="AE648:AG648"/>
    <mergeCell ref="AE639:AG639"/>
    <mergeCell ref="AE640:AG640"/>
    <mergeCell ref="AE641:AG641"/>
    <mergeCell ref="AE642:AG642"/>
    <mergeCell ref="AE643:AG643"/>
    <mergeCell ref="AE634:AG634"/>
    <mergeCell ref="AE635:AG635"/>
    <mergeCell ref="AE636:AG636"/>
    <mergeCell ref="AE637:AG637"/>
    <mergeCell ref="AE638:AG638"/>
    <mergeCell ref="AE629:AG629"/>
    <mergeCell ref="AE630:AG630"/>
    <mergeCell ref="AE631:AG631"/>
    <mergeCell ref="AE632:AG632"/>
    <mergeCell ref="AE633:AG633"/>
    <mergeCell ref="AE624:AG624"/>
    <mergeCell ref="AE625:AG625"/>
    <mergeCell ref="AE626:AG626"/>
    <mergeCell ref="AE627:AG627"/>
    <mergeCell ref="AE628:AG628"/>
    <mergeCell ref="AE619:AG619"/>
    <mergeCell ref="AE620:AG620"/>
    <mergeCell ref="AE621:AG621"/>
    <mergeCell ref="AE622:AG622"/>
    <mergeCell ref="AE623:AG623"/>
    <mergeCell ref="AE614:AG614"/>
    <mergeCell ref="AE615:AG615"/>
    <mergeCell ref="AE616:AG616"/>
    <mergeCell ref="AE617:AG617"/>
    <mergeCell ref="AE618:AG618"/>
    <mergeCell ref="AE609:AG609"/>
    <mergeCell ref="AE610:AG610"/>
    <mergeCell ref="AE611:AG611"/>
    <mergeCell ref="AE612:AG612"/>
    <mergeCell ref="AE613:AG613"/>
    <mergeCell ref="AE604:AG604"/>
    <mergeCell ref="AE605:AG605"/>
    <mergeCell ref="AE606:AG606"/>
    <mergeCell ref="AE607:AG607"/>
    <mergeCell ref="AE608:AG608"/>
    <mergeCell ref="AE599:AG599"/>
    <mergeCell ref="AE600:AG600"/>
    <mergeCell ref="AE601:AG601"/>
    <mergeCell ref="AE602:AG602"/>
    <mergeCell ref="AE603:AG603"/>
    <mergeCell ref="AE594:AG594"/>
    <mergeCell ref="AE595:AG595"/>
    <mergeCell ref="AE596:AG596"/>
    <mergeCell ref="AE597:AG597"/>
    <mergeCell ref="AE598:AG598"/>
    <mergeCell ref="AE589:AG589"/>
    <mergeCell ref="AE590:AG590"/>
    <mergeCell ref="AE591:AG591"/>
    <mergeCell ref="AE592:AG592"/>
    <mergeCell ref="AE593:AG593"/>
    <mergeCell ref="AE584:AG584"/>
    <mergeCell ref="AE585:AG585"/>
    <mergeCell ref="AE586:AG586"/>
    <mergeCell ref="AE587:AG587"/>
    <mergeCell ref="AE588:AG588"/>
    <mergeCell ref="AE579:AG579"/>
    <mergeCell ref="AE580:AG580"/>
    <mergeCell ref="AE581:AG581"/>
    <mergeCell ref="AE582:AG582"/>
    <mergeCell ref="AE583:AG583"/>
    <mergeCell ref="AE574:AG574"/>
    <mergeCell ref="AE575:AG575"/>
    <mergeCell ref="AE576:AG576"/>
    <mergeCell ref="AE577:AG577"/>
    <mergeCell ref="AE578:AG578"/>
    <mergeCell ref="AE569:AG569"/>
    <mergeCell ref="AE570:AG570"/>
    <mergeCell ref="AE571:AG571"/>
    <mergeCell ref="AE572:AG572"/>
    <mergeCell ref="AE573:AG573"/>
    <mergeCell ref="AE564:AG564"/>
    <mergeCell ref="AE565:AG565"/>
    <mergeCell ref="AE566:AG566"/>
    <mergeCell ref="AE567:AG567"/>
    <mergeCell ref="AE568:AG568"/>
    <mergeCell ref="AE559:AG559"/>
    <mergeCell ref="AE560:AG560"/>
    <mergeCell ref="AE561:AG561"/>
    <mergeCell ref="AE562:AG562"/>
    <mergeCell ref="AE563:AG563"/>
    <mergeCell ref="AE554:AG554"/>
    <mergeCell ref="AE555:AG555"/>
    <mergeCell ref="AE556:AG556"/>
    <mergeCell ref="AE557:AG557"/>
    <mergeCell ref="AE558:AG558"/>
    <mergeCell ref="AE549:AG549"/>
    <mergeCell ref="AE550:AG550"/>
    <mergeCell ref="AE551:AG551"/>
    <mergeCell ref="AE552:AG552"/>
    <mergeCell ref="AE553:AG553"/>
    <mergeCell ref="AE544:AG544"/>
    <mergeCell ref="AE545:AG545"/>
    <mergeCell ref="AE546:AG546"/>
    <mergeCell ref="AE547:AG547"/>
    <mergeCell ref="AE548:AG548"/>
    <mergeCell ref="AE539:AG539"/>
    <mergeCell ref="AE540:AG540"/>
    <mergeCell ref="AE541:AG541"/>
    <mergeCell ref="AE542:AG542"/>
    <mergeCell ref="AE543:AG543"/>
    <mergeCell ref="AE534:AG534"/>
    <mergeCell ref="AE535:AG535"/>
    <mergeCell ref="AE536:AG536"/>
    <mergeCell ref="AE537:AG537"/>
    <mergeCell ref="AE538:AG538"/>
    <mergeCell ref="AE529:AG529"/>
    <mergeCell ref="AE530:AG530"/>
    <mergeCell ref="AE531:AG531"/>
    <mergeCell ref="AE532:AG532"/>
    <mergeCell ref="AE533:AG533"/>
    <mergeCell ref="AE524:AG524"/>
    <mergeCell ref="AE525:AG525"/>
    <mergeCell ref="AE526:AG526"/>
    <mergeCell ref="AE527:AG527"/>
    <mergeCell ref="AE528:AG528"/>
    <mergeCell ref="AE519:AG519"/>
    <mergeCell ref="AE520:AG520"/>
    <mergeCell ref="AE521:AG521"/>
    <mergeCell ref="AE522:AG522"/>
    <mergeCell ref="AE523:AG523"/>
    <mergeCell ref="AE514:AG514"/>
    <mergeCell ref="AE515:AG515"/>
    <mergeCell ref="AE516:AG516"/>
    <mergeCell ref="AE517:AG517"/>
    <mergeCell ref="AE518:AG518"/>
    <mergeCell ref="AE509:AG509"/>
    <mergeCell ref="AE510:AG510"/>
    <mergeCell ref="AE511:AG511"/>
    <mergeCell ref="AE512:AG512"/>
    <mergeCell ref="AE513:AG513"/>
    <mergeCell ref="AE504:AG504"/>
    <mergeCell ref="AE505:AG505"/>
    <mergeCell ref="AE506:AG506"/>
    <mergeCell ref="AE507:AG507"/>
    <mergeCell ref="AE508:AG508"/>
    <mergeCell ref="AE499:AG499"/>
    <mergeCell ref="AE500:AG500"/>
    <mergeCell ref="AE501:AG501"/>
    <mergeCell ref="AE502:AG502"/>
    <mergeCell ref="AE503:AG503"/>
    <mergeCell ref="AE494:AG494"/>
    <mergeCell ref="AE495:AG495"/>
    <mergeCell ref="AE496:AG496"/>
    <mergeCell ref="AE497:AG497"/>
    <mergeCell ref="AE498:AG498"/>
    <mergeCell ref="AE489:AG489"/>
    <mergeCell ref="AE490:AG490"/>
    <mergeCell ref="AE491:AG491"/>
    <mergeCell ref="AE492:AG492"/>
    <mergeCell ref="AE493:AG493"/>
    <mergeCell ref="AE484:AG484"/>
    <mergeCell ref="AE485:AG485"/>
    <mergeCell ref="AE486:AG486"/>
    <mergeCell ref="AE487:AG487"/>
    <mergeCell ref="AE488:AG488"/>
    <mergeCell ref="AE479:AG479"/>
    <mergeCell ref="AE480:AG480"/>
    <mergeCell ref="AE481:AG481"/>
    <mergeCell ref="AE482:AG482"/>
    <mergeCell ref="AE483:AG483"/>
    <mergeCell ref="AE474:AG474"/>
    <mergeCell ref="AE475:AG475"/>
    <mergeCell ref="AE476:AG476"/>
    <mergeCell ref="AE477:AG477"/>
    <mergeCell ref="AE478:AG478"/>
    <mergeCell ref="AE469:AG469"/>
    <mergeCell ref="AE470:AG470"/>
    <mergeCell ref="AE471:AG471"/>
    <mergeCell ref="AE472:AG472"/>
    <mergeCell ref="AE473:AG473"/>
    <mergeCell ref="AE464:AG464"/>
    <mergeCell ref="AE465:AG465"/>
    <mergeCell ref="AE466:AG466"/>
    <mergeCell ref="AE467:AG467"/>
    <mergeCell ref="AE468:AG468"/>
    <mergeCell ref="AE459:AG459"/>
    <mergeCell ref="AE460:AG460"/>
    <mergeCell ref="AE461:AG461"/>
    <mergeCell ref="AE462:AG462"/>
    <mergeCell ref="AE463:AG463"/>
    <mergeCell ref="AE454:AG454"/>
    <mergeCell ref="AE455:AG455"/>
    <mergeCell ref="AE456:AG456"/>
    <mergeCell ref="AE457:AG457"/>
    <mergeCell ref="AE458:AG458"/>
    <mergeCell ref="AE449:AG449"/>
    <mergeCell ref="AE450:AG450"/>
    <mergeCell ref="AE451:AG451"/>
    <mergeCell ref="AE452:AG452"/>
    <mergeCell ref="AE453:AG453"/>
    <mergeCell ref="AE444:AG444"/>
    <mergeCell ref="AE445:AG445"/>
    <mergeCell ref="AE446:AG446"/>
    <mergeCell ref="AE447:AG447"/>
    <mergeCell ref="AE448:AG448"/>
    <mergeCell ref="AE439:AG439"/>
    <mergeCell ref="AE440:AG440"/>
    <mergeCell ref="AE441:AG441"/>
    <mergeCell ref="AE442:AG442"/>
    <mergeCell ref="AE443:AG443"/>
    <mergeCell ref="AE434:AG434"/>
    <mergeCell ref="AE435:AG435"/>
    <mergeCell ref="AE436:AG436"/>
    <mergeCell ref="AE437:AG437"/>
    <mergeCell ref="AE438:AG438"/>
    <mergeCell ref="AE429:AG429"/>
    <mergeCell ref="AE430:AG430"/>
    <mergeCell ref="AE431:AG431"/>
    <mergeCell ref="AE432:AG432"/>
    <mergeCell ref="AE433:AG433"/>
    <mergeCell ref="AE424:AG424"/>
    <mergeCell ref="AE425:AG425"/>
    <mergeCell ref="AE426:AG426"/>
    <mergeCell ref="AE427:AG427"/>
    <mergeCell ref="AE428:AG428"/>
    <mergeCell ref="AE419:AG419"/>
    <mergeCell ref="AE420:AG420"/>
    <mergeCell ref="AE421:AG421"/>
    <mergeCell ref="AE422:AG422"/>
    <mergeCell ref="AE423:AG423"/>
    <mergeCell ref="AE414:AG414"/>
    <mergeCell ref="AE415:AG415"/>
    <mergeCell ref="AE416:AG416"/>
    <mergeCell ref="AE417:AG417"/>
    <mergeCell ref="AE418:AG418"/>
    <mergeCell ref="AE409:AG409"/>
    <mergeCell ref="AE410:AG410"/>
    <mergeCell ref="AE411:AG411"/>
    <mergeCell ref="AE412:AG412"/>
    <mergeCell ref="AE413:AG413"/>
    <mergeCell ref="AE404:AG404"/>
    <mergeCell ref="AE405:AG405"/>
    <mergeCell ref="AE406:AG406"/>
    <mergeCell ref="AE407:AG407"/>
    <mergeCell ref="AE408:AG408"/>
    <mergeCell ref="AE399:AG399"/>
    <mergeCell ref="AE400:AG400"/>
    <mergeCell ref="AE401:AG401"/>
    <mergeCell ref="AE402:AG402"/>
    <mergeCell ref="AE403:AG403"/>
    <mergeCell ref="AE394:AG394"/>
    <mergeCell ref="AE395:AG395"/>
    <mergeCell ref="AE396:AG396"/>
    <mergeCell ref="AE397:AG397"/>
    <mergeCell ref="AE398:AG398"/>
    <mergeCell ref="AE389:AG389"/>
    <mergeCell ref="AE390:AG390"/>
    <mergeCell ref="AE391:AG391"/>
    <mergeCell ref="AE392:AG392"/>
    <mergeCell ref="AE393:AG393"/>
    <mergeCell ref="AE384:AG384"/>
    <mergeCell ref="AE385:AG385"/>
    <mergeCell ref="AE386:AG386"/>
    <mergeCell ref="AE387:AG387"/>
    <mergeCell ref="AE388:AG388"/>
    <mergeCell ref="AE379:AG379"/>
    <mergeCell ref="AE380:AG380"/>
    <mergeCell ref="AE381:AG381"/>
    <mergeCell ref="AE382:AG382"/>
    <mergeCell ref="AE383:AG383"/>
    <mergeCell ref="AE374:AG374"/>
    <mergeCell ref="AE375:AG375"/>
    <mergeCell ref="AE376:AG376"/>
    <mergeCell ref="AE377:AG377"/>
    <mergeCell ref="AE378:AG378"/>
    <mergeCell ref="AE369:AG369"/>
    <mergeCell ref="AE370:AG370"/>
    <mergeCell ref="AE371:AG371"/>
    <mergeCell ref="AE372:AG372"/>
    <mergeCell ref="AE373:AG373"/>
    <mergeCell ref="AE364:AG364"/>
    <mergeCell ref="AE365:AG365"/>
    <mergeCell ref="AE366:AG366"/>
    <mergeCell ref="AE367:AG367"/>
    <mergeCell ref="AE368:AG368"/>
    <mergeCell ref="AE359:AG359"/>
    <mergeCell ref="AE360:AG360"/>
    <mergeCell ref="AE361:AG361"/>
    <mergeCell ref="AE362:AG362"/>
    <mergeCell ref="AE363:AG363"/>
    <mergeCell ref="AE354:AG354"/>
    <mergeCell ref="AE355:AG355"/>
    <mergeCell ref="AE356:AG356"/>
    <mergeCell ref="AE357:AG357"/>
    <mergeCell ref="AE358:AG358"/>
    <mergeCell ref="AE349:AG349"/>
    <mergeCell ref="AE350:AG350"/>
    <mergeCell ref="AE351:AG351"/>
    <mergeCell ref="AE352:AG352"/>
    <mergeCell ref="AE353:AG353"/>
    <mergeCell ref="AE344:AG344"/>
    <mergeCell ref="AE345:AG345"/>
    <mergeCell ref="AE346:AG346"/>
    <mergeCell ref="AE347:AG347"/>
    <mergeCell ref="AE348:AG348"/>
    <mergeCell ref="AE339:AG339"/>
    <mergeCell ref="AE340:AG340"/>
    <mergeCell ref="AE341:AG341"/>
    <mergeCell ref="AE342:AG342"/>
    <mergeCell ref="AE343:AG343"/>
    <mergeCell ref="AE334:AG334"/>
    <mergeCell ref="AE335:AG335"/>
    <mergeCell ref="AE336:AG336"/>
    <mergeCell ref="AE337:AG337"/>
    <mergeCell ref="AE338:AG338"/>
    <mergeCell ref="AE329:AG329"/>
    <mergeCell ref="AE330:AG330"/>
    <mergeCell ref="AE331:AG331"/>
    <mergeCell ref="AE332:AG332"/>
    <mergeCell ref="AE333:AG333"/>
    <mergeCell ref="AE324:AG324"/>
    <mergeCell ref="AE325:AG325"/>
    <mergeCell ref="AE326:AG326"/>
    <mergeCell ref="AE327:AG327"/>
    <mergeCell ref="AE328:AG328"/>
    <mergeCell ref="AE319:AG319"/>
    <mergeCell ref="AE320:AG320"/>
    <mergeCell ref="AE321:AG321"/>
    <mergeCell ref="AE322:AG322"/>
    <mergeCell ref="AE323:AG323"/>
    <mergeCell ref="AE314:AG314"/>
    <mergeCell ref="AE315:AG315"/>
    <mergeCell ref="AE316:AG316"/>
    <mergeCell ref="AE317:AG317"/>
    <mergeCell ref="AE318:AG318"/>
    <mergeCell ref="AE309:AG309"/>
    <mergeCell ref="AE310:AG310"/>
    <mergeCell ref="AE311:AG311"/>
    <mergeCell ref="AE312:AG312"/>
    <mergeCell ref="AE313:AG313"/>
    <mergeCell ref="AE304:AG304"/>
    <mergeCell ref="AE305:AG305"/>
    <mergeCell ref="AE306:AG306"/>
    <mergeCell ref="AE307:AG307"/>
    <mergeCell ref="AE308:AG308"/>
    <mergeCell ref="AE299:AG299"/>
    <mergeCell ref="AE300:AG300"/>
    <mergeCell ref="AE301:AG301"/>
    <mergeCell ref="AE302:AG302"/>
    <mergeCell ref="AE303:AG303"/>
    <mergeCell ref="AE294:AG294"/>
    <mergeCell ref="AE295:AG295"/>
    <mergeCell ref="AE296:AG296"/>
    <mergeCell ref="AE297:AG297"/>
    <mergeCell ref="AE298:AG298"/>
    <mergeCell ref="AE289:AG289"/>
    <mergeCell ref="AE290:AG290"/>
    <mergeCell ref="AE291:AG291"/>
    <mergeCell ref="AE292:AG292"/>
    <mergeCell ref="AE293:AG293"/>
    <mergeCell ref="AE284:AG284"/>
    <mergeCell ref="AE285:AG285"/>
    <mergeCell ref="AE286:AG286"/>
    <mergeCell ref="AE287:AG287"/>
    <mergeCell ref="AE288:AG288"/>
    <mergeCell ref="AE279:AG279"/>
    <mergeCell ref="AE280:AG280"/>
    <mergeCell ref="AE281:AG281"/>
    <mergeCell ref="AE282:AG282"/>
    <mergeCell ref="AE283:AG283"/>
    <mergeCell ref="AE274:AG274"/>
    <mergeCell ref="AE275:AG275"/>
    <mergeCell ref="AE276:AG276"/>
    <mergeCell ref="AE277:AG277"/>
    <mergeCell ref="AE278:AG278"/>
    <mergeCell ref="AE269:AG269"/>
    <mergeCell ref="AE270:AG270"/>
    <mergeCell ref="AE271:AG271"/>
    <mergeCell ref="AE272:AG272"/>
    <mergeCell ref="AE273:AG273"/>
    <mergeCell ref="AE264:AG264"/>
    <mergeCell ref="AE265:AG265"/>
    <mergeCell ref="AE266:AG266"/>
    <mergeCell ref="AE267:AG267"/>
    <mergeCell ref="AE268:AG268"/>
    <mergeCell ref="AE259:AG259"/>
    <mergeCell ref="AE260:AG260"/>
    <mergeCell ref="AE261:AG261"/>
    <mergeCell ref="AE262:AG262"/>
    <mergeCell ref="AE263:AG263"/>
    <mergeCell ref="AE254:AG254"/>
    <mergeCell ref="AE255:AG255"/>
    <mergeCell ref="AE256:AG256"/>
    <mergeCell ref="AE257:AG257"/>
    <mergeCell ref="AE258:AG258"/>
    <mergeCell ref="AE249:AG249"/>
    <mergeCell ref="AE250:AG250"/>
    <mergeCell ref="AE251:AG251"/>
    <mergeCell ref="AE252:AG252"/>
    <mergeCell ref="AE253:AG253"/>
    <mergeCell ref="AE244:AG244"/>
    <mergeCell ref="AE245:AG245"/>
    <mergeCell ref="AE246:AG246"/>
    <mergeCell ref="AE247:AG247"/>
    <mergeCell ref="AE248:AG248"/>
    <mergeCell ref="AE239:AG239"/>
    <mergeCell ref="AE240:AG240"/>
    <mergeCell ref="AE241:AG241"/>
    <mergeCell ref="AE242:AG242"/>
    <mergeCell ref="AE243:AG243"/>
    <mergeCell ref="AE234:AG234"/>
    <mergeCell ref="AE235:AG235"/>
    <mergeCell ref="AE236:AG236"/>
    <mergeCell ref="AE237:AG237"/>
    <mergeCell ref="AE238:AG238"/>
    <mergeCell ref="AE229:AG229"/>
    <mergeCell ref="AE230:AG230"/>
    <mergeCell ref="AE231:AG231"/>
    <mergeCell ref="AE232:AG232"/>
    <mergeCell ref="AE233:AG233"/>
    <mergeCell ref="AE224:AG224"/>
    <mergeCell ref="AE225:AG225"/>
    <mergeCell ref="AE226:AG226"/>
    <mergeCell ref="AE227:AG227"/>
    <mergeCell ref="AE228:AG228"/>
    <mergeCell ref="AE219:AG219"/>
    <mergeCell ref="AE220:AG220"/>
    <mergeCell ref="AE221:AG221"/>
    <mergeCell ref="AE222:AG222"/>
    <mergeCell ref="AE223:AG223"/>
    <mergeCell ref="AE214:AG214"/>
    <mergeCell ref="AE215:AG215"/>
    <mergeCell ref="AE216:AG216"/>
    <mergeCell ref="AE217:AG217"/>
    <mergeCell ref="AE218:AG218"/>
    <mergeCell ref="AE209:AG209"/>
    <mergeCell ref="AE210:AG210"/>
    <mergeCell ref="AE211:AG211"/>
    <mergeCell ref="AE212:AG212"/>
    <mergeCell ref="AE213:AG213"/>
    <mergeCell ref="AE204:AG204"/>
    <mergeCell ref="AE205:AG205"/>
    <mergeCell ref="AE206:AG206"/>
    <mergeCell ref="AE207:AG207"/>
    <mergeCell ref="AE208:AG208"/>
    <mergeCell ref="AE199:AG199"/>
    <mergeCell ref="AE200:AG200"/>
    <mergeCell ref="AE201:AG201"/>
    <mergeCell ref="AE202:AG202"/>
    <mergeCell ref="AE203:AG203"/>
    <mergeCell ref="AE194:AG194"/>
    <mergeCell ref="AE195:AG195"/>
    <mergeCell ref="AE196:AG196"/>
    <mergeCell ref="AE197:AG197"/>
    <mergeCell ref="AE198:AG198"/>
    <mergeCell ref="AE189:AG189"/>
    <mergeCell ref="AE190:AG190"/>
    <mergeCell ref="AE191:AG191"/>
    <mergeCell ref="AE192:AG192"/>
    <mergeCell ref="AE193:AG193"/>
    <mergeCell ref="AE184:AG184"/>
    <mergeCell ref="AE185:AG185"/>
    <mergeCell ref="AE186:AG186"/>
    <mergeCell ref="AE187:AG187"/>
    <mergeCell ref="AE188:AG188"/>
    <mergeCell ref="AE179:AG179"/>
    <mergeCell ref="AE180:AG180"/>
    <mergeCell ref="AE181:AG181"/>
    <mergeCell ref="AE182:AG182"/>
    <mergeCell ref="AE183:AG183"/>
    <mergeCell ref="AE174:AG174"/>
    <mergeCell ref="AE175:AG175"/>
    <mergeCell ref="AE176:AG176"/>
    <mergeCell ref="AE177:AG177"/>
    <mergeCell ref="AE178:AG178"/>
    <mergeCell ref="AE169:AG169"/>
    <mergeCell ref="AE170:AG170"/>
    <mergeCell ref="AE171:AG171"/>
    <mergeCell ref="AE172:AG172"/>
    <mergeCell ref="AE173:AG173"/>
    <mergeCell ref="AE164:AG164"/>
    <mergeCell ref="AE165:AG165"/>
    <mergeCell ref="AE166:AG166"/>
    <mergeCell ref="AE167:AG167"/>
    <mergeCell ref="AE168:AG168"/>
    <mergeCell ref="AE159:AG159"/>
    <mergeCell ref="AE160:AG160"/>
    <mergeCell ref="AE161:AG161"/>
    <mergeCell ref="AE162:AG162"/>
    <mergeCell ref="AE163:AG163"/>
    <mergeCell ref="AE154:AG154"/>
    <mergeCell ref="AE155:AG155"/>
    <mergeCell ref="AE156:AG156"/>
    <mergeCell ref="AE157:AG157"/>
    <mergeCell ref="AE158:AG158"/>
    <mergeCell ref="AE149:AG149"/>
    <mergeCell ref="AE150:AG150"/>
    <mergeCell ref="AE151:AG151"/>
    <mergeCell ref="AE152:AG152"/>
    <mergeCell ref="AE153:AG153"/>
    <mergeCell ref="AE144:AG144"/>
    <mergeCell ref="AE145:AG145"/>
    <mergeCell ref="AE146:AG146"/>
    <mergeCell ref="AE147:AG147"/>
    <mergeCell ref="AE148:AG148"/>
    <mergeCell ref="AE139:AG139"/>
    <mergeCell ref="AE140:AG140"/>
    <mergeCell ref="AE141:AG141"/>
    <mergeCell ref="AE142:AG142"/>
    <mergeCell ref="AE143:AG143"/>
    <mergeCell ref="AE134:AG134"/>
    <mergeCell ref="AE135:AG135"/>
    <mergeCell ref="AE136:AG136"/>
    <mergeCell ref="AE137:AG137"/>
    <mergeCell ref="AE138:AG138"/>
    <mergeCell ref="AE129:AG129"/>
    <mergeCell ref="AE130:AG130"/>
    <mergeCell ref="AE131:AG131"/>
    <mergeCell ref="AE132:AG132"/>
    <mergeCell ref="AE133:AG133"/>
    <mergeCell ref="AE124:AG124"/>
    <mergeCell ref="AE125:AG125"/>
    <mergeCell ref="AE126:AG126"/>
    <mergeCell ref="AE127:AG127"/>
    <mergeCell ref="AE128:AG128"/>
    <mergeCell ref="AE119:AG119"/>
    <mergeCell ref="AE120:AG120"/>
    <mergeCell ref="AE121:AG121"/>
    <mergeCell ref="AE122:AG122"/>
    <mergeCell ref="AE123:AG123"/>
    <mergeCell ref="AE114:AG114"/>
    <mergeCell ref="AE115:AG115"/>
    <mergeCell ref="AE116:AG116"/>
    <mergeCell ref="AE117:AG117"/>
    <mergeCell ref="AE118:AG118"/>
    <mergeCell ref="AE109:AG109"/>
    <mergeCell ref="AE110:AG110"/>
    <mergeCell ref="AE111:AG111"/>
    <mergeCell ref="AE112:AG112"/>
    <mergeCell ref="AE113:AG113"/>
    <mergeCell ref="AE104:AG104"/>
    <mergeCell ref="AE105:AG105"/>
    <mergeCell ref="AE106:AG106"/>
    <mergeCell ref="AE107:AG107"/>
    <mergeCell ref="AE108:AG108"/>
    <mergeCell ref="AE99:AG99"/>
    <mergeCell ref="AE100:AG100"/>
    <mergeCell ref="AE101:AG101"/>
    <mergeCell ref="AE102:AG102"/>
    <mergeCell ref="AE103:AG103"/>
    <mergeCell ref="AE94:AG94"/>
    <mergeCell ref="AE95:AG95"/>
    <mergeCell ref="AE96:AG96"/>
    <mergeCell ref="AE97:AG97"/>
    <mergeCell ref="AE98:AG98"/>
    <mergeCell ref="AE89:AG89"/>
    <mergeCell ref="AE90:AG90"/>
    <mergeCell ref="AE91:AG91"/>
    <mergeCell ref="AE92:AG92"/>
    <mergeCell ref="AE93:AG93"/>
    <mergeCell ref="AE84:AG84"/>
    <mergeCell ref="AE85:AG85"/>
    <mergeCell ref="AE86:AG86"/>
    <mergeCell ref="AE87:AG87"/>
    <mergeCell ref="AE88:AG88"/>
    <mergeCell ref="AE79:AG79"/>
    <mergeCell ref="AE80:AG80"/>
    <mergeCell ref="AE81:AG81"/>
    <mergeCell ref="AE82:AG82"/>
    <mergeCell ref="AE83:AG83"/>
    <mergeCell ref="AE74:AG74"/>
    <mergeCell ref="AE75:AG75"/>
    <mergeCell ref="AE76:AG76"/>
    <mergeCell ref="AE77:AG77"/>
    <mergeCell ref="AE78:AG78"/>
    <mergeCell ref="AE69:AG69"/>
    <mergeCell ref="AE70:AG70"/>
    <mergeCell ref="AE71:AG71"/>
    <mergeCell ref="AE72:AG72"/>
    <mergeCell ref="AE73:AG73"/>
    <mergeCell ref="AE64:AG64"/>
    <mergeCell ref="AE65:AG65"/>
    <mergeCell ref="AE66:AG66"/>
    <mergeCell ref="AE67:AG67"/>
    <mergeCell ref="AE68:AG68"/>
    <mergeCell ref="AE59:AG59"/>
    <mergeCell ref="AE60:AG60"/>
    <mergeCell ref="AE61:AG61"/>
    <mergeCell ref="AE62:AG62"/>
    <mergeCell ref="AE63:AG63"/>
    <mergeCell ref="AE54:AG54"/>
    <mergeCell ref="AE55:AG55"/>
    <mergeCell ref="AE56:AG56"/>
    <mergeCell ref="AE57:AG57"/>
    <mergeCell ref="AE58:AG58"/>
    <mergeCell ref="AE49:AG49"/>
    <mergeCell ref="AE50:AG50"/>
    <mergeCell ref="AE51:AG51"/>
    <mergeCell ref="AE52:AG52"/>
    <mergeCell ref="AE53:AG53"/>
    <mergeCell ref="AE44:AG44"/>
    <mergeCell ref="AE45:AG45"/>
    <mergeCell ref="AE46:AG46"/>
    <mergeCell ref="AE47:AG47"/>
    <mergeCell ref="AE48:AG48"/>
    <mergeCell ref="AE39:AG39"/>
    <mergeCell ref="AE40:AG40"/>
    <mergeCell ref="AE41:AG41"/>
    <mergeCell ref="AE42:AG42"/>
    <mergeCell ref="AE43:AG43"/>
    <mergeCell ref="AE34:AG34"/>
    <mergeCell ref="AE35:AG35"/>
    <mergeCell ref="AE36:AG36"/>
    <mergeCell ref="AE37:AG37"/>
    <mergeCell ref="AE38:AG38"/>
    <mergeCell ref="AE29:AG29"/>
    <mergeCell ref="AE30:AG30"/>
    <mergeCell ref="AE31:AG31"/>
    <mergeCell ref="AE32:AG32"/>
    <mergeCell ref="AE33:AG33"/>
    <mergeCell ref="AE24:AG24"/>
    <mergeCell ref="AE25:AG25"/>
    <mergeCell ref="AE26:AG26"/>
    <mergeCell ref="AE27:AG27"/>
    <mergeCell ref="AE28:AG28"/>
    <mergeCell ref="AE19:AG19"/>
    <mergeCell ref="AE20:AG20"/>
    <mergeCell ref="AE21:AG21"/>
    <mergeCell ref="AE22:AG22"/>
    <mergeCell ref="AE23:AG23"/>
    <mergeCell ref="X997:AD997"/>
    <mergeCell ref="X998:AD998"/>
    <mergeCell ref="AE5:AG5"/>
    <mergeCell ref="AE6:AG6"/>
    <mergeCell ref="AE7:AG7"/>
    <mergeCell ref="AE8:AG8"/>
    <mergeCell ref="AE9:AG9"/>
    <mergeCell ref="AE10:AG10"/>
    <mergeCell ref="AE11:AG11"/>
    <mergeCell ref="AE12:AG12"/>
    <mergeCell ref="AE13:AG13"/>
    <mergeCell ref="AE14:AG14"/>
    <mergeCell ref="AE15:AG15"/>
    <mergeCell ref="AE16:AG16"/>
    <mergeCell ref="AE17:AG17"/>
    <mergeCell ref="AE18:AG18"/>
    <mergeCell ref="X992:AD992"/>
    <mergeCell ref="X993:AD993"/>
    <mergeCell ref="X994:AD994"/>
    <mergeCell ref="X995:AD995"/>
    <mergeCell ref="X996:AD996"/>
    <mergeCell ref="X987:AD987"/>
    <mergeCell ref="X988:AD988"/>
    <mergeCell ref="X989:AD989"/>
    <mergeCell ref="X990:AD990"/>
    <mergeCell ref="X991:AD991"/>
    <mergeCell ref="X982:AD982"/>
    <mergeCell ref="X983:AD983"/>
    <mergeCell ref="X984:AD984"/>
    <mergeCell ref="X985:AD985"/>
    <mergeCell ref="X986:AD986"/>
    <mergeCell ref="X977:AD977"/>
    <mergeCell ref="X978:AD978"/>
    <mergeCell ref="X979:AD979"/>
    <mergeCell ref="X980:AD980"/>
    <mergeCell ref="X981:AD981"/>
    <mergeCell ref="X972:AD972"/>
    <mergeCell ref="X973:AD973"/>
    <mergeCell ref="X974:AD974"/>
    <mergeCell ref="X975:AD975"/>
    <mergeCell ref="X976:AD976"/>
    <mergeCell ref="X967:AD967"/>
    <mergeCell ref="X968:AD968"/>
    <mergeCell ref="X969:AD969"/>
    <mergeCell ref="X970:AD970"/>
    <mergeCell ref="X971:AD971"/>
    <mergeCell ref="X962:AD962"/>
    <mergeCell ref="X963:AD963"/>
    <mergeCell ref="X964:AD964"/>
    <mergeCell ref="X965:AD965"/>
    <mergeCell ref="X966:AD966"/>
    <mergeCell ref="X957:AD957"/>
    <mergeCell ref="X958:AD958"/>
    <mergeCell ref="X959:AD959"/>
    <mergeCell ref="X960:AD960"/>
    <mergeCell ref="X961:AD961"/>
    <mergeCell ref="X952:AD952"/>
    <mergeCell ref="X953:AD953"/>
    <mergeCell ref="X954:AD954"/>
    <mergeCell ref="X955:AD955"/>
    <mergeCell ref="X956:AD956"/>
    <mergeCell ref="X947:AD947"/>
    <mergeCell ref="X948:AD948"/>
    <mergeCell ref="X949:AD949"/>
    <mergeCell ref="X950:AD950"/>
    <mergeCell ref="X951:AD951"/>
    <mergeCell ref="X942:AD942"/>
    <mergeCell ref="X943:AD943"/>
    <mergeCell ref="X944:AD944"/>
    <mergeCell ref="X945:AD945"/>
    <mergeCell ref="X946:AD946"/>
    <mergeCell ref="X937:AD937"/>
    <mergeCell ref="X938:AD938"/>
    <mergeCell ref="X939:AD939"/>
    <mergeCell ref="X940:AD940"/>
    <mergeCell ref="X941:AD941"/>
    <mergeCell ref="X932:AD932"/>
    <mergeCell ref="X933:AD933"/>
    <mergeCell ref="X934:AD934"/>
    <mergeCell ref="X935:AD935"/>
    <mergeCell ref="X936:AD936"/>
    <mergeCell ref="X927:AD927"/>
    <mergeCell ref="X928:AD928"/>
    <mergeCell ref="X929:AD929"/>
    <mergeCell ref="X930:AD930"/>
    <mergeCell ref="X931:AD931"/>
    <mergeCell ref="X922:AD922"/>
    <mergeCell ref="X923:AD923"/>
    <mergeCell ref="X924:AD924"/>
    <mergeCell ref="X925:AD925"/>
    <mergeCell ref="X926:AD926"/>
    <mergeCell ref="X917:AD917"/>
    <mergeCell ref="X918:AD918"/>
    <mergeCell ref="X919:AD919"/>
    <mergeCell ref="X920:AD920"/>
    <mergeCell ref="X921:AD921"/>
    <mergeCell ref="X912:AD912"/>
    <mergeCell ref="X913:AD913"/>
    <mergeCell ref="X914:AD914"/>
    <mergeCell ref="X915:AD915"/>
    <mergeCell ref="X916:AD916"/>
    <mergeCell ref="X907:AD907"/>
    <mergeCell ref="X908:AD908"/>
    <mergeCell ref="X909:AD909"/>
    <mergeCell ref="X910:AD910"/>
    <mergeCell ref="X911:AD911"/>
    <mergeCell ref="X902:AD902"/>
    <mergeCell ref="X903:AD903"/>
    <mergeCell ref="X904:AD904"/>
    <mergeCell ref="X905:AD905"/>
    <mergeCell ref="X906:AD906"/>
    <mergeCell ref="X897:AD897"/>
    <mergeCell ref="X898:AD898"/>
    <mergeCell ref="X899:AD899"/>
    <mergeCell ref="X900:AD900"/>
    <mergeCell ref="X901:AD901"/>
    <mergeCell ref="X892:AD892"/>
    <mergeCell ref="X893:AD893"/>
    <mergeCell ref="X894:AD894"/>
    <mergeCell ref="X895:AD895"/>
    <mergeCell ref="X896:AD896"/>
    <mergeCell ref="X887:AD887"/>
    <mergeCell ref="X888:AD888"/>
    <mergeCell ref="X889:AD889"/>
    <mergeCell ref="X890:AD890"/>
    <mergeCell ref="X891:AD891"/>
    <mergeCell ref="X882:AD882"/>
    <mergeCell ref="X883:AD883"/>
    <mergeCell ref="X884:AD884"/>
    <mergeCell ref="X885:AD885"/>
    <mergeCell ref="X886:AD886"/>
    <mergeCell ref="X877:AD877"/>
    <mergeCell ref="X878:AD878"/>
    <mergeCell ref="X879:AD879"/>
    <mergeCell ref="X880:AD880"/>
    <mergeCell ref="X881:AD881"/>
    <mergeCell ref="X872:AD872"/>
    <mergeCell ref="X873:AD873"/>
    <mergeCell ref="X874:AD874"/>
    <mergeCell ref="X875:AD875"/>
    <mergeCell ref="X876:AD876"/>
    <mergeCell ref="X867:AD867"/>
    <mergeCell ref="X868:AD868"/>
    <mergeCell ref="X869:AD869"/>
    <mergeCell ref="X870:AD870"/>
    <mergeCell ref="X871:AD871"/>
    <mergeCell ref="X862:AD862"/>
    <mergeCell ref="X863:AD863"/>
    <mergeCell ref="X864:AD864"/>
    <mergeCell ref="X865:AD865"/>
    <mergeCell ref="X866:AD866"/>
    <mergeCell ref="X857:AD857"/>
    <mergeCell ref="X858:AD858"/>
    <mergeCell ref="X859:AD859"/>
    <mergeCell ref="X860:AD860"/>
    <mergeCell ref="X861:AD861"/>
    <mergeCell ref="X852:AD852"/>
    <mergeCell ref="X853:AD853"/>
    <mergeCell ref="X854:AD854"/>
    <mergeCell ref="X855:AD855"/>
    <mergeCell ref="X856:AD856"/>
    <mergeCell ref="X847:AD847"/>
    <mergeCell ref="X848:AD848"/>
    <mergeCell ref="X849:AD849"/>
    <mergeCell ref="X850:AD850"/>
    <mergeCell ref="X851:AD851"/>
    <mergeCell ref="X842:AD842"/>
    <mergeCell ref="X843:AD843"/>
    <mergeCell ref="X844:AD844"/>
    <mergeCell ref="X845:AD845"/>
    <mergeCell ref="X846:AD846"/>
    <mergeCell ref="X837:AD837"/>
    <mergeCell ref="X838:AD838"/>
    <mergeCell ref="X839:AD839"/>
    <mergeCell ref="X840:AD840"/>
    <mergeCell ref="X841:AD841"/>
    <mergeCell ref="X832:AD832"/>
    <mergeCell ref="X833:AD833"/>
    <mergeCell ref="X834:AD834"/>
    <mergeCell ref="X835:AD835"/>
    <mergeCell ref="X836:AD836"/>
    <mergeCell ref="X827:AD827"/>
    <mergeCell ref="X828:AD828"/>
    <mergeCell ref="X829:AD829"/>
    <mergeCell ref="X830:AD830"/>
    <mergeCell ref="X831:AD831"/>
    <mergeCell ref="X822:AD822"/>
    <mergeCell ref="X823:AD823"/>
    <mergeCell ref="X824:AD824"/>
    <mergeCell ref="X825:AD825"/>
    <mergeCell ref="X826:AD826"/>
    <mergeCell ref="X817:AD817"/>
    <mergeCell ref="X818:AD818"/>
    <mergeCell ref="X819:AD819"/>
    <mergeCell ref="X820:AD820"/>
    <mergeCell ref="X821:AD821"/>
    <mergeCell ref="X812:AD812"/>
    <mergeCell ref="X813:AD813"/>
    <mergeCell ref="X814:AD814"/>
    <mergeCell ref="X815:AD815"/>
    <mergeCell ref="X816:AD816"/>
    <mergeCell ref="X807:AD807"/>
    <mergeCell ref="X808:AD808"/>
    <mergeCell ref="X809:AD809"/>
    <mergeCell ref="X810:AD810"/>
    <mergeCell ref="X811:AD811"/>
    <mergeCell ref="X802:AD802"/>
    <mergeCell ref="X803:AD803"/>
    <mergeCell ref="X804:AD804"/>
    <mergeCell ref="X805:AD805"/>
    <mergeCell ref="X806:AD806"/>
    <mergeCell ref="X797:AD797"/>
    <mergeCell ref="X798:AD798"/>
    <mergeCell ref="X799:AD799"/>
    <mergeCell ref="X800:AD800"/>
    <mergeCell ref="X801:AD801"/>
    <mergeCell ref="X792:AD792"/>
    <mergeCell ref="X793:AD793"/>
    <mergeCell ref="X794:AD794"/>
    <mergeCell ref="X795:AD795"/>
    <mergeCell ref="X796:AD796"/>
    <mergeCell ref="X787:AD787"/>
    <mergeCell ref="X788:AD788"/>
    <mergeCell ref="X789:AD789"/>
    <mergeCell ref="X790:AD790"/>
    <mergeCell ref="X791:AD791"/>
    <mergeCell ref="X782:AD782"/>
    <mergeCell ref="X783:AD783"/>
    <mergeCell ref="X784:AD784"/>
    <mergeCell ref="X785:AD785"/>
    <mergeCell ref="X786:AD786"/>
    <mergeCell ref="X777:AD777"/>
    <mergeCell ref="X778:AD778"/>
    <mergeCell ref="X779:AD779"/>
    <mergeCell ref="X780:AD780"/>
    <mergeCell ref="X781:AD781"/>
    <mergeCell ref="X772:AD772"/>
    <mergeCell ref="X773:AD773"/>
    <mergeCell ref="X774:AD774"/>
    <mergeCell ref="X775:AD775"/>
    <mergeCell ref="X776:AD776"/>
    <mergeCell ref="X767:AD767"/>
    <mergeCell ref="X768:AD768"/>
    <mergeCell ref="X769:AD769"/>
    <mergeCell ref="X770:AD770"/>
    <mergeCell ref="X771:AD771"/>
    <mergeCell ref="X762:AD762"/>
    <mergeCell ref="X763:AD763"/>
    <mergeCell ref="X764:AD764"/>
    <mergeCell ref="X765:AD765"/>
    <mergeCell ref="X766:AD766"/>
    <mergeCell ref="X757:AD757"/>
    <mergeCell ref="X758:AD758"/>
    <mergeCell ref="X759:AD759"/>
    <mergeCell ref="X760:AD760"/>
    <mergeCell ref="X761:AD761"/>
    <mergeCell ref="X752:AD752"/>
    <mergeCell ref="X753:AD753"/>
    <mergeCell ref="X754:AD754"/>
    <mergeCell ref="X755:AD755"/>
    <mergeCell ref="X756:AD756"/>
    <mergeCell ref="X747:AD747"/>
    <mergeCell ref="X748:AD748"/>
    <mergeCell ref="X749:AD749"/>
    <mergeCell ref="X750:AD750"/>
    <mergeCell ref="X751:AD751"/>
    <mergeCell ref="X742:AD742"/>
    <mergeCell ref="X743:AD743"/>
    <mergeCell ref="X744:AD744"/>
    <mergeCell ref="X745:AD745"/>
    <mergeCell ref="X746:AD746"/>
    <mergeCell ref="X737:AD737"/>
    <mergeCell ref="X738:AD738"/>
    <mergeCell ref="X739:AD739"/>
    <mergeCell ref="X740:AD740"/>
    <mergeCell ref="X741:AD741"/>
    <mergeCell ref="X732:AD732"/>
    <mergeCell ref="X733:AD733"/>
    <mergeCell ref="X734:AD734"/>
    <mergeCell ref="X735:AD735"/>
    <mergeCell ref="X736:AD736"/>
    <mergeCell ref="X727:AD727"/>
    <mergeCell ref="X728:AD728"/>
    <mergeCell ref="X729:AD729"/>
    <mergeCell ref="X730:AD730"/>
    <mergeCell ref="X731:AD731"/>
    <mergeCell ref="X722:AD722"/>
    <mergeCell ref="X723:AD723"/>
    <mergeCell ref="X724:AD724"/>
    <mergeCell ref="X725:AD725"/>
    <mergeCell ref="X726:AD726"/>
    <mergeCell ref="X717:AD717"/>
    <mergeCell ref="X718:AD718"/>
    <mergeCell ref="X719:AD719"/>
    <mergeCell ref="X720:AD720"/>
    <mergeCell ref="X721:AD721"/>
    <mergeCell ref="X712:AD712"/>
    <mergeCell ref="X713:AD713"/>
    <mergeCell ref="X714:AD714"/>
    <mergeCell ref="X715:AD715"/>
    <mergeCell ref="X716:AD716"/>
    <mergeCell ref="X707:AD707"/>
    <mergeCell ref="X708:AD708"/>
    <mergeCell ref="X709:AD709"/>
    <mergeCell ref="X710:AD710"/>
    <mergeCell ref="X711:AD711"/>
    <mergeCell ref="X702:AD702"/>
    <mergeCell ref="X703:AD703"/>
    <mergeCell ref="X704:AD704"/>
    <mergeCell ref="X705:AD705"/>
    <mergeCell ref="X706:AD706"/>
    <mergeCell ref="X697:AD697"/>
    <mergeCell ref="X698:AD698"/>
    <mergeCell ref="X699:AD699"/>
    <mergeCell ref="X700:AD700"/>
    <mergeCell ref="X701:AD701"/>
    <mergeCell ref="X692:AD692"/>
    <mergeCell ref="X693:AD693"/>
    <mergeCell ref="X694:AD694"/>
    <mergeCell ref="X695:AD695"/>
    <mergeCell ref="X696:AD696"/>
    <mergeCell ref="X687:AD687"/>
    <mergeCell ref="X688:AD688"/>
    <mergeCell ref="X689:AD689"/>
    <mergeCell ref="X690:AD690"/>
    <mergeCell ref="X691:AD691"/>
    <mergeCell ref="X682:AD682"/>
    <mergeCell ref="X683:AD683"/>
    <mergeCell ref="X684:AD684"/>
    <mergeCell ref="X685:AD685"/>
    <mergeCell ref="X686:AD686"/>
    <mergeCell ref="X677:AD677"/>
    <mergeCell ref="X678:AD678"/>
    <mergeCell ref="X679:AD679"/>
    <mergeCell ref="X680:AD680"/>
    <mergeCell ref="X681:AD681"/>
    <mergeCell ref="X672:AD672"/>
    <mergeCell ref="X673:AD673"/>
    <mergeCell ref="X674:AD674"/>
    <mergeCell ref="X675:AD675"/>
    <mergeCell ref="X676:AD676"/>
    <mergeCell ref="X667:AD667"/>
    <mergeCell ref="X668:AD668"/>
    <mergeCell ref="X669:AD669"/>
    <mergeCell ref="X670:AD670"/>
    <mergeCell ref="X671:AD671"/>
    <mergeCell ref="X662:AD662"/>
    <mergeCell ref="X663:AD663"/>
    <mergeCell ref="X664:AD664"/>
    <mergeCell ref="X665:AD665"/>
    <mergeCell ref="X666:AD666"/>
    <mergeCell ref="X657:AD657"/>
    <mergeCell ref="X658:AD658"/>
    <mergeCell ref="X659:AD659"/>
    <mergeCell ref="X660:AD660"/>
    <mergeCell ref="X661:AD661"/>
    <mergeCell ref="X652:AD652"/>
    <mergeCell ref="X653:AD653"/>
    <mergeCell ref="X654:AD654"/>
    <mergeCell ref="X655:AD655"/>
    <mergeCell ref="X656:AD656"/>
    <mergeCell ref="X647:AD647"/>
    <mergeCell ref="X648:AD648"/>
    <mergeCell ref="X649:AD649"/>
    <mergeCell ref="X650:AD650"/>
    <mergeCell ref="X651:AD651"/>
    <mergeCell ref="X642:AD642"/>
    <mergeCell ref="X643:AD643"/>
    <mergeCell ref="X644:AD644"/>
    <mergeCell ref="X645:AD645"/>
    <mergeCell ref="X646:AD646"/>
    <mergeCell ref="X637:AD637"/>
    <mergeCell ref="X638:AD638"/>
    <mergeCell ref="X639:AD639"/>
    <mergeCell ref="X640:AD640"/>
    <mergeCell ref="X641:AD641"/>
    <mergeCell ref="X632:AD632"/>
    <mergeCell ref="X633:AD633"/>
    <mergeCell ref="X634:AD634"/>
    <mergeCell ref="X635:AD635"/>
    <mergeCell ref="X636:AD636"/>
    <mergeCell ref="X627:AD627"/>
    <mergeCell ref="X628:AD628"/>
    <mergeCell ref="X629:AD629"/>
    <mergeCell ref="X630:AD630"/>
    <mergeCell ref="X631:AD631"/>
    <mergeCell ref="X622:AD622"/>
    <mergeCell ref="X623:AD623"/>
    <mergeCell ref="X624:AD624"/>
    <mergeCell ref="X625:AD625"/>
    <mergeCell ref="X626:AD626"/>
    <mergeCell ref="X617:AD617"/>
    <mergeCell ref="X618:AD618"/>
    <mergeCell ref="X619:AD619"/>
    <mergeCell ref="X620:AD620"/>
    <mergeCell ref="X621:AD621"/>
    <mergeCell ref="X612:AD612"/>
    <mergeCell ref="X613:AD613"/>
    <mergeCell ref="X614:AD614"/>
    <mergeCell ref="X615:AD615"/>
    <mergeCell ref="X616:AD616"/>
    <mergeCell ref="X607:AD607"/>
    <mergeCell ref="X608:AD608"/>
    <mergeCell ref="X609:AD609"/>
    <mergeCell ref="X610:AD610"/>
    <mergeCell ref="X611:AD611"/>
    <mergeCell ref="X602:AD602"/>
    <mergeCell ref="X603:AD603"/>
    <mergeCell ref="X604:AD604"/>
    <mergeCell ref="X605:AD605"/>
    <mergeCell ref="X606:AD606"/>
    <mergeCell ref="X597:AD597"/>
    <mergeCell ref="X598:AD598"/>
    <mergeCell ref="X599:AD599"/>
    <mergeCell ref="X600:AD600"/>
    <mergeCell ref="X601:AD601"/>
    <mergeCell ref="X592:AD592"/>
    <mergeCell ref="X593:AD593"/>
    <mergeCell ref="X594:AD594"/>
    <mergeCell ref="X595:AD595"/>
    <mergeCell ref="X596:AD596"/>
    <mergeCell ref="X587:AD587"/>
    <mergeCell ref="X588:AD588"/>
    <mergeCell ref="X589:AD589"/>
    <mergeCell ref="X590:AD590"/>
    <mergeCell ref="X591:AD591"/>
    <mergeCell ref="X582:AD582"/>
    <mergeCell ref="X583:AD583"/>
    <mergeCell ref="X584:AD584"/>
    <mergeCell ref="X585:AD585"/>
    <mergeCell ref="X586:AD586"/>
    <mergeCell ref="X577:AD577"/>
    <mergeCell ref="X578:AD578"/>
    <mergeCell ref="X579:AD579"/>
    <mergeCell ref="X580:AD580"/>
    <mergeCell ref="X581:AD581"/>
    <mergeCell ref="X572:AD572"/>
    <mergeCell ref="X573:AD573"/>
    <mergeCell ref="X574:AD574"/>
    <mergeCell ref="X575:AD575"/>
    <mergeCell ref="X576:AD576"/>
    <mergeCell ref="X567:AD567"/>
    <mergeCell ref="X568:AD568"/>
    <mergeCell ref="X569:AD569"/>
    <mergeCell ref="X570:AD570"/>
    <mergeCell ref="X571:AD571"/>
    <mergeCell ref="X562:AD562"/>
    <mergeCell ref="X563:AD563"/>
    <mergeCell ref="X564:AD564"/>
    <mergeCell ref="X565:AD565"/>
    <mergeCell ref="X566:AD566"/>
    <mergeCell ref="X557:AD557"/>
    <mergeCell ref="X558:AD558"/>
    <mergeCell ref="X559:AD559"/>
    <mergeCell ref="X560:AD560"/>
    <mergeCell ref="X561:AD561"/>
    <mergeCell ref="X552:AD552"/>
    <mergeCell ref="X553:AD553"/>
    <mergeCell ref="X554:AD554"/>
    <mergeCell ref="X555:AD555"/>
    <mergeCell ref="X556:AD556"/>
    <mergeCell ref="X547:AD547"/>
    <mergeCell ref="X548:AD548"/>
    <mergeCell ref="X549:AD549"/>
    <mergeCell ref="X550:AD550"/>
    <mergeCell ref="X551:AD551"/>
    <mergeCell ref="X542:AD542"/>
    <mergeCell ref="X543:AD543"/>
    <mergeCell ref="X544:AD544"/>
    <mergeCell ref="X545:AD545"/>
    <mergeCell ref="X546:AD546"/>
    <mergeCell ref="X537:AD537"/>
    <mergeCell ref="X538:AD538"/>
    <mergeCell ref="X539:AD539"/>
    <mergeCell ref="X540:AD540"/>
    <mergeCell ref="X541:AD541"/>
    <mergeCell ref="X532:AD532"/>
    <mergeCell ref="X533:AD533"/>
    <mergeCell ref="X534:AD534"/>
    <mergeCell ref="X535:AD535"/>
    <mergeCell ref="X536:AD536"/>
    <mergeCell ref="X527:AD527"/>
    <mergeCell ref="X528:AD528"/>
    <mergeCell ref="X529:AD529"/>
    <mergeCell ref="X530:AD530"/>
    <mergeCell ref="X531:AD531"/>
    <mergeCell ref="X522:AD522"/>
    <mergeCell ref="X523:AD523"/>
    <mergeCell ref="X524:AD524"/>
    <mergeCell ref="X525:AD525"/>
    <mergeCell ref="X526:AD526"/>
    <mergeCell ref="X517:AD517"/>
    <mergeCell ref="X518:AD518"/>
    <mergeCell ref="X519:AD519"/>
    <mergeCell ref="X520:AD520"/>
    <mergeCell ref="X521:AD521"/>
    <mergeCell ref="X512:AD512"/>
    <mergeCell ref="X513:AD513"/>
    <mergeCell ref="X514:AD514"/>
    <mergeCell ref="X515:AD515"/>
    <mergeCell ref="X516:AD516"/>
    <mergeCell ref="X507:AD507"/>
    <mergeCell ref="X508:AD508"/>
    <mergeCell ref="X509:AD509"/>
    <mergeCell ref="X510:AD510"/>
    <mergeCell ref="X511:AD511"/>
    <mergeCell ref="X502:AD502"/>
    <mergeCell ref="X503:AD503"/>
    <mergeCell ref="X504:AD504"/>
    <mergeCell ref="X505:AD505"/>
    <mergeCell ref="X506:AD506"/>
    <mergeCell ref="X497:AD497"/>
    <mergeCell ref="X498:AD498"/>
    <mergeCell ref="X499:AD499"/>
    <mergeCell ref="X500:AD500"/>
    <mergeCell ref="X501:AD501"/>
    <mergeCell ref="X492:AD492"/>
    <mergeCell ref="X493:AD493"/>
    <mergeCell ref="X494:AD494"/>
    <mergeCell ref="X495:AD495"/>
    <mergeCell ref="X496:AD496"/>
    <mergeCell ref="X487:AD487"/>
    <mergeCell ref="X488:AD488"/>
    <mergeCell ref="X489:AD489"/>
    <mergeCell ref="X490:AD490"/>
    <mergeCell ref="X491:AD491"/>
    <mergeCell ref="X482:AD482"/>
    <mergeCell ref="X483:AD483"/>
    <mergeCell ref="X484:AD484"/>
    <mergeCell ref="X485:AD485"/>
    <mergeCell ref="X486:AD486"/>
    <mergeCell ref="X477:AD477"/>
    <mergeCell ref="X478:AD478"/>
    <mergeCell ref="X479:AD479"/>
    <mergeCell ref="X480:AD480"/>
    <mergeCell ref="X481:AD481"/>
    <mergeCell ref="X472:AD472"/>
    <mergeCell ref="X473:AD473"/>
    <mergeCell ref="X474:AD474"/>
    <mergeCell ref="X475:AD475"/>
    <mergeCell ref="X476:AD476"/>
    <mergeCell ref="X467:AD467"/>
    <mergeCell ref="X468:AD468"/>
    <mergeCell ref="X469:AD469"/>
    <mergeCell ref="X470:AD470"/>
    <mergeCell ref="X471:AD471"/>
    <mergeCell ref="X462:AD462"/>
    <mergeCell ref="X463:AD463"/>
    <mergeCell ref="X464:AD464"/>
    <mergeCell ref="X465:AD465"/>
    <mergeCell ref="X466:AD466"/>
    <mergeCell ref="X457:AD457"/>
    <mergeCell ref="X458:AD458"/>
    <mergeCell ref="X459:AD459"/>
    <mergeCell ref="X460:AD460"/>
    <mergeCell ref="X461:AD461"/>
    <mergeCell ref="X452:AD452"/>
    <mergeCell ref="X453:AD453"/>
    <mergeCell ref="X454:AD454"/>
    <mergeCell ref="X455:AD455"/>
    <mergeCell ref="X456:AD456"/>
    <mergeCell ref="X447:AD447"/>
    <mergeCell ref="X448:AD448"/>
    <mergeCell ref="X449:AD449"/>
    <mergeCell ref="X450:AD450"/>
    <mergeCell ref="X451:AD451"/>
    <mergeCell ref="X442:AD442"/>
    <mergeCell ref="X443:AD443"/>
    <mergeCell ref="X444:AD444"/>
    <mergeCell ref="X445:AD445"/>
    <mergeCell ref="X446:AD446"/>
    <mergeCell ref="X437:AD437"/>
    <mergeCell ref="X438:AD438"/>
    <mergeCell ref="X439:AD439"/>
    <mergeCell ref="X440:AD440"/>
    <mergeCell ref="X441:AD441"/>
    <mergeCell ref="X432:AD432"/>
    <mergeCell ref="X433:AD433"/>
    <mergeCell ref="X434:AD434"/>
    <mergeCell ref="X435:AD435"/>
    <mergeCell ref="X436:AD436"/>
    <mergeCell ref="X427:AD427"/>
    <mergeCell ref="X428:AD428"/>
    <mergeCell ref="X429:AD429"/>
    <mergeCell ref="X430:AD430"/>
    <mergeCell ref="X431:AD431"/>
    <mergeCell ref="X422:AD422"/>
    <mergeCell ref="X423:AD423"/>
    <mergeCell ref="X424:AD424"/>
    <mergeCell ref="X425:AD425"/>
    <mergeCell ref="X426:AD426"/>
    <mergeCell ref="X417:AD417"/>
    <mergeCell ref="X418:AD418"/>
    <mergeCell ref="X419:AD419"/>
    <mergeCell ref="X420:AD420"/>
    <mergeCell ref="X421:AD421"/>
    <mergeCell ref="X412:AD412"/>
    <mergeCell ref="X413:AD413"/>
    <mergeCell ref="X414:AD414"/>
    <mergeCell ref="X415:AD415"/>
    <mergeCell ref="X416:AD416"/>
    <mergeCell ref="X407:AD407"/>
    <mergeCell ref="X408:AD408"/>
    <mergeCell ref="X409:AD409"/>
    <mergeCell ref="X410:AD410"/>
    <mergeCell ref="X411:AD411"/>
    <mergeCell ref="X402:AD402"/>
    <mergeCell ref="X403:AD403"/>
    <mergeCell ref="X404:AD404"/>
    <mergeCell ref="X405:AD405"/>
    <mergeCell ref="X406:AD406"/>
    <mergeCell ref="X397:AD397"/>
    <mergeCell ref="X398:AD398"/>
    <mergeCell ref="X399:AD399"/>
    <mergeCell ref="X400:AD400"/>
    <mergeCell ref="X401:AD401"/>
    <mergeCell ref="X392:AD392"/>
    <mergeCell ref="X393:AD393"/>
    <mergeCell ref="X394:AD394"/>
    <mergeCell ref="X395:AD395"/>
    <mergeCell ref="X396:AD396"/>
    <mergeCell ref="X387:AD387"/>
    <mergeCell ref="X388:AD388"/>
    <mergeCell ref="X389:AD389"/>
    <mergeCell ref="X390:AD390"/>
    <mergeCell ref="X391:AD391"/>
    <mergeCell ref="X382:AD382"/>
    <mergeCell ref="X383:AD383"/>
    <mergeCell ref="X384:AD384"/>
    <mergeCell ref="X385:AD385"/>
    <mergeCell ref="X386:AD386"/>
    <mergeCell ref="X377:AD377"/>
    <mergeCell ref="X378:AD378"/>
    <mergeCell ref="X379:AD379"/>
    <mergeCell ref="X380:AD380"/>
    <mergeCell ref="X381:AD381"/>
    <mergeCell ref="X372:AD372"/>
    <mergeCell ref="X373:AD373"/>
    <mergeCell ref="X374:AD374"/>
    <mergeCell ref="X375:AD375"/>
    <mergeCell ref="X376:AD376"/>
    <mergeCell ref="X367:AD367"/>
    <mergeCell ref="X368:AD368"/>
    <mergeCell ref="X369:AD369"/>
    <mergeCell ref="X370:AD370"/>
    <mergeCell ref="X371:AD371"/>
    <mergeCell ref="X362:AD362"/>
    <mergeCell ref="X363:AD363"/>
    <mergeCell ref="X364:AD364"/>
    <mergeCell ref="X365:AD365"/>
    <mergeCell ref="X366:AD366"/>
    <mergeCell ref="X357:AD357"/>
    <mergeCell ref="X358:AD358"/>
    <mergeCell ref="X359:AD359"/>
    <mergeCell ref="X360:AD360"/>
    <mergeCell ref="X361:AD361"/>
    <mergeCell ref="X352:AD352"/>
    <mergeCell ref="X353:AD353"/>
    <mergeCell ref="X354:AD354"/>
    <mergeCell ref="X355:AD355"/>
    <mergeCell ref="X356:AD356"/>
    <mergeCell ref="X347:AD347"/>
    <mergeCell ref="X348:AD348"/>
    <mergeCell ref="X349:AD349"/>
    <mergeCell ref="X350:AD350"/>
    <mergeCell ref="X351:AD351"/>
    <mergeCell ref="X342:AD342"/>
    <mergeCell ref="X343:AD343"/>
    <mergeCell ref="X344:AD344"/>
    <mergeCell ref="X345:AD345"/>
    <mergeCell ref="X346:AD346"/>
    <mergeCell ref="X337:AD337"/>
    <mergeCell ref="X338:AD338"/>
    <mergeCell ref="X339:AD339"/>
    <mergeCell ref="X340:AD340"/>
    <mergeCell ref="X341:AD341"/>
    <mergeCell ref="X332:AD332"/>
    <mergeCell ref="X333:AD333"/>
    <mergeCell ref="X334:AD334"/>
    <mergeCell ref="X335:AD335"/>
    <mergeCell ref="X336:AD336"/>
    <mergeCell ref="X327:AD327"/>
    <mergeCell ref="X328:AD328"/>
    <mergeCell ref="X329:AD329"/>
    <mergeCell ref="X330:AD330"/>
    <mergeCell ref="X331:AD331"/>
    <mergeCell ref="X322:AD322"/>
    <mergeCell ref="X323:AD323"/>
    <mergeCell ref="X324:AD324"/>
    <mergeCell ref="X325:AD325"/>
    <mergeCell ref="X326:AD326"/>
    <mergeCell ref="X317:AD317"/>
    <mergeCell ref="X318:AD318"/>
    <mergeCell ref="X319:AD319"/>
    <mergeCell ref="X320:AD320"/>
    <mergeCell ref="X321:AD321"/>
    <mergeCell ref="X312:AD312"/>
    <mergeCell ref="X313:AD313"/>
    <mergeCell ref="X314:AD314"/>
    <mergeCell ref="X315:AD315"/>
    <mergeCell ref="X316:AD316"/>
    <mergeCell ref="X307:AD307"/>
    <mergeCell ref="X308:AD308"/>
    <mergeCell ref="X309:AD309"/>
    <mergeCell ref="X310:AD310"/>
    <mergeCell ref="X311:AD311"/>
    <mergeCell ref="X302:AD302"/>
    <mergeCell ref="X303:AD303"/>
    <mergeCell ref="X304:AD304"/>
    <mergeCell ref="X305:AD305"/>
    <mergeCell ref="X306:AD306"/>
    <mergeCell ref="X297:AD297"/>
    <mergeCell ref="X298:AD298"/>
    <mergeCell ref="X299:AD299"/>
    <mergeCell ref="X300:AD300"/>
    <mergeCell ref="X301:AD301"/>
    <mergeCell ref="X292:AD292"/>
    <mergeCell ref="X293:AD293"/>
    <mergeCell ref="X294:AD294"/>
    <mergeCell ref="X295:AD295"/>
    <mergeCell ref="X296:AD296"/>
    <mergeCell ref="X287:AD287"/>
    <mergeCell ref="X288:AD288"/>
    <mergeCell ref="X289:AD289"/>
    <mergeCell ref="X290:AD290"/>
    <mergeCell ref="X291:AD291"/>
    <mergeCell ref="X282:AD282"/>
    <mergeCell ref="X283:AD283"/>
    <mergeCell ref="X284:AD284"/>
    <mergeCell ref="X285:AD285"/>
    <mergeCell ref="X286:AD286"/>
    <mergeCell ref="X277:AD277"/>
    <mergeCell ref="X278:AD278"/>
    <mergeCell ref="X279:AD279"/>
    <mergeCell ref="X280:AD280"/>
    <mergeCell ref="X281:AD281"/>
    <mergeCell ref="X272:AD272"/>
    <mergeCell ref="X273:AD273"/>
    <mergeCell ref="X274:AD274"/>
    <mergeCell ref="X275:AD275"/>
    <mergeCell ref="X276:AD276"/>
    <mergeCell ref="X267:AD267"/>
    <mergeCell ref="X268:AD268"/>
    <mergeCell ref="X269:AD269"/>
    <mergeCell ref="X270:AD270"/>
    <mergeCell ref="X271:AD271"/>
    <mergeCell ref="X262:AD262"/>
    <mergeCell ref="X263:AD263"/>
    <mergeCell ref="X264:AD264"/>
    <mergeCell ref="X265:AD265"/>
    <mergeCell ref="X266:AD266"/>
    <mergeCell ref="X257:AD257"/>
    <mergeCell ref="X258:AD258"/>
    <mergeCell ref="X259:AD259"/>
    <mergeCell ref="X260:AD260"/>
    <mergeCell ref="X261:AD261"/>
    <mergeCell ref="X252:AD252"/>
    <mergeCell ref="X253:AD253"/>
    <mergeCell ref="X254:AD254"/>
    <mergeCell ref="X255:AD255"/>
    <mergeCell ref="X256:AD256"/>
    <mergeCell ref="X247:AD247"/>
    <mergeCell ref="X248:AD248"/>
    <mergeCell ref="X249:AD249"/>
    <mergeCell ref="X250:AD250"/>
    <mergeCell ref="X251:AD251"/>
    <mergeCell ref="X242:AD242"/>
    <mergeCell ref="X243:AD243"/>
    <mergeCell ref="X244:AD244"/>
    <mergeCell ref="X245:AD245"/>
    <mergeCell ref="X246:AD246"/>
    <mergeCell ref="X237:AD237"/>
    <mergeCell ref="X238:AD238"/>
    <mergeCell ref="X239:AD239"/>
    <mergeCell ref="X240:AD240"/>
    <mergeCell ref="X241:AD241"/>
    <mergeCell ref="X232:AD232"/>
    <mergeCell ref="X233:AD233"/>
    <mergeCell ref="X234:AD234"/>
    <mergeCell ref="X235:AD235"/>
    <mergeCell ref="X236:AD236"/>
    <mergeCell ref="X227:AD227"/>
    <mergeCell ref="X228:AD228"/>
    <mergeCell ref="X229:AD229"/>
    <mergeCell ref="X230:AD230"/>
    <mergeCell ref="X231:AD231"/>
    <mergeCell ref="X222:AD222"/>
    <mergeCell ref="X223:AD223"/>
    <mergeCell ref="X224:AD224"/>
    <mergeCell ref="X225:AD225"/>
    <mergeCell ref="X226:AD226"/>
    <mergeCell ref="X217:AD217"/>
    <mergeCell ref="X218:AD218"/>
    <mergeCell ref="X219:AD219"/>
    <mergeCell ref="X220:AD220"/>
    <mergeCell ref="X221:AD221"/>
    <mergeCell ref="X212:AD212"/>
    <mergeCell ref="X213:AD213"/>
    <mergeCell ref="X214:AD214"/>
    <mergeCell ref="X215:AD215"/>
    <mergeCell ref="X216:AD216"/>
    <mergeCell ref="X207:AD207"/>
    <mergeCell ref="X208:AD208"/>
    <mergeCell ref="X209:AD209"/>
    <mergeCell ref="X210:AD210"/>
    <mergeCell ref="X211:AD211"/>
    <mergeCell ref="X202:AD202"/>
    <mergeCell ref="X203:AD203"/>
    <mergeCell ref="X204:AD204"/>
    <mergeCell ref="X205:AD205"/>
    <mergeCell ref="X206:AD206"/>
    <mergeCell ref="X197:AD197"/>
    <mergeCell ref="X198:AD198"/>
    <mergeCell ref="X199:AD199"/>
    <mergeCell ref="X200:AD200"/>
    <mergeCell ref="X201:AD201"/>
    <mergeCell ref="X192:AD192"/>
    <mergeCell ref="X193:AD193"/>
    <mergeCell ref="X194:AD194"/>
    <mergeCell ref="X195:AD195"/>
    <mergeCell ref="X196:AD196"/>
    <mergeCell ref="X187:AD187"/>
    <mergeCell ref="X188:AD188"/>
    <mergeCell ref="X189:AD189"/>
    <mergeCell ref="X190:AD190"/>
    <mergeCell ref="X191:AD191"/>
    <mergeCell ref="X182:AD182"/>
    <mergeCell ref="X183:AD183"/>
    <mergeCell ref="X184:AD184"/>
    <mergeCell ref="X185:AD185"/>
    <mergeCell ref="X186:AD186"/>
    <mergeCell ref="X177:AD177"/>
    <mergeCell ref="X178:AD178"/>
    <mergeCell ref="X179:AD179"/>
    <mergeCell ref="X180:AD180"/>
    <mergeCell ref="X181:AD181"/>
    <mergeCell ref="X172:AD172"/>
    <mergeCell ref="X173:AD173"/>
    <mergeCell ref="X174:AD174"/>
    <mergeCell ref="X175:AD175"/>
    <mergeCell ref="X176:AD176"/>
    <mergeCell ref="X167:AD167"/>
    <mergeCell ref="X168:AD168"/>
    <mergeCell ref="X169:AD169"/>
    <mergeCell ref="X170:AD170"/>
    <mergeCell ref="X171:AD171"/>
    <mergeCell ref="X162:AD162"/>
    <mergeCell ref="X163:AD163"/>
    <mergeCell ref="X164:AD164"/>
    <mergeCell ref="X165:AD165"/>
    <mergeCell ref="X166:AD166"/>
    <mergeCell ref="X157:AD157"/>
    <mergeCell ref="X158:AD158"/>
    <mergeCell ref="X159:AD159"/>
    <mergeCell ref="X160:AD160"/>
    <mergeCell ref="X161:AD161"/>
    <mergeCell ref="X152:AD152"/>
    <mergeCell ref="X153:AD153"/>
    <mergeCell ref="X154:AD154"/>
    <mergeCell ref="X155:AD155"/>
    <mergeCell ref="X156:AD156"/>
    <mergeCell ref="X147:AD147"/>
    <mergeCell ref="X148:AD148"/>
    <mergeCell ref="X149:AD149"/>
    <mergeCell ref="X150:AD150"/>
    <mergeCell ref="X151:AD151"/>
    <mergeCell ref="X142:AD142"/>
    <mergeCell ref="X143:AD143"/>
    <mergeCell ref="X144:AD144"/>
    <mergeCell ref="X145:AD145"/>
    <mergeCell ref="X146:AD146"/>
    <mergeCell ref="X137:AD137"/>
    <mergeCell ref="X138:AD138"/>
    <mergeCell ref="X139:AD139"/>
    <mergeCell ref="X140:AD140"/>
    <mergeCell ref="X141:AD141"/>
    <mergeCell ref="X132:AD132"/>
    <mergeCell ref="X133:AD133"/>
    <mergeCell ref="X134:AD134"/>
    <mergeCell ref="X135:AD135"/>
    <mergeCell ref="X136:AD136"/>
    <mergeCell ref="X127:AD127"/>
    <mergeCell ref="X128:AD128"/>
    <mergeCell ref="X129:AD129"/>
    <mergeCell ref="X130:AD130"/>
    <mergeCell ref="X131:AD131"/>
    <mergeCell ref="X122:AD122"/>
    <mergeCell ref="X123:AD123"/>
    <mergeCell ref="X124:AD124"/>
    <mergeCell ref="X125:AD125"/>
    <mergeCell ref="X126:AD126"/>
    <mergeCell ref="X117:AD117"/>
    <mergeCell ref="X118:AD118"/>
    <mergeCell ref="X119:AD119"/>
    <mergeCell ref="X120:AD120"/>
    <mergeCell ref="X121:AD121"/>
    <mergeCell ref="X112:AD112"/>
    <mergeCell ref="X113:AD113"/>
    <mergeCell ref="X114:AD114"/>
    <mergeCell ref="X115:AD115"/>
    <mergeCell ref="X116:AD116"/>
    <mergeCell ref="X107:AD107"/>
    <mergeCell ref="X108:AD108"/>
    <mergeCell ref="X109:AD109"/>
    <mergeCell ref="X110:AD110"/>
    <mergeCell ref="X111:AD111"/>
    <mergeCell ref="X102:AD102"/>
    <mergeCell ref="X103:AD103"/>
    <mergeCell ref="X104:AD104"/>
    <mergeCell ref="X105:AD105"/>
    <mergeCell ref="X106:AD106"/>
    <mergeCell ref="X97:AD97"/>
    <mergeCell ref="X98:AD98"/>
    <mergeCell ref="X99:AD99"/>
    <mergeCell ref="X100:AD100"/>
    <mergeCell ref="X101:AD101"/>
    <mergeCell ref="X92:AD92"/>
    <mergeCell ref="X93:AD93"/>
    <mergeCell ref="X94:AD94"/>
    <mergeCell ref="X95:AD95"/>
    <mergeCell ref="X96:AD96"/>
    <mergeCell ref="X87:AD87"/>
    <mergeCell ref="X88:AD88"/>
    <mergeCell ref="X89:AD89"/>
    <mergeCell ref="X90:AD90"/>
    <mergeCell ref="X91:AD91"/>
    <mergeCell ref="X82:AD82"/>
    <mergeCell ref="X83:AD83"/>
    <mergeCell ref="X84:AD84"/>
    <mergeCell ref="X85:AD85"/>
    <mergeCell ref="X86:AD86"/>
    <mergeCell ref="X77:AD77"/>
    <mergeCell ref="X78:AD78"/>
    <mergeCell ref="X79:AD79"/>
    <mergeCell ref="X80:AD80"/>
    <mergeCell ref="X81:AD81"/>
    <mergeCell ref="X72:AD72"/>
    <mergeCell ref="X73:AD73"/>
    <mergeCell ref="X74:AD74"/>
    <mergeCell ref="X75:AD75"/>
    <mergeCell ref="X76:AD76"/>
    <mergeCell ref="X67:AD67"/>
    <mergeCell ref="X68:AD68"/>
    <mergeCell ref="X69:AD69"/>
    <mergeCell ref="X70:AD70"/>
    <mergeCell ref="X71:AD71"/>
    <mergeCell ref="X62:AD62"/>
    <mergeCell ref="X63:AD63"/>
    <mergeCell ref="X64:AD64"/>
    <mergeCell ref="X65:AD65"/>
    <mergeCell ref="X66:AD66"/>
    <mergeCell ref="X57:AD57"/>
    <mergeCell ref="X58:AD58"/>
    <mergeCell ref="X59:AD59"/>
    <mergeCell ref="X60:AD60"/>
    <mergeCell ref="X61:AD61"/>
    <mergeCell ref="X52:AD52"/>
    <mergeCell ref="X53:AD53"/>
    <mergeCell ref="X54:AD54"/>
    <mergeCell ref="X55:AD55"/>
    <mergeCell ref="X56:AD56"/>
    <mergeCell ref="X47:AD47"/>
    <mergeCell ref="X48:AD48"/>
    <mergeCell ref="X49:AD49"/>
    <mergeCell ref="X50:AD50"/>
    <mergeCell ref="X51:AD51"/>
    <mergeCell ref="X42:AD42"/>
    <mergeCell ref="X43:AD43"/>
    <mergeCell ref="X44:AD44"/>
    <mergeCell ref="X45:AD45"/>
    <mergeCell ref="X46:AD46"/>
    <mergeCell ref="X37:AD37"/>
    <mergeCell ref="X38:AD38"/>
    <mergeCell ref="X39:AD39"/>
    <mergeCell ref="X40:AD40"/>
    <mergeCell ref="X41:AD41"/>
    <mergeCell ref="X32:AD32"/>
    <mergeCell ref="X33:AD33"/>
    <mergeCell ref="X34:AD34"/>
    <mergeCell ref="X35:AD35"/>
    <mergeCell ref="X36:AD36"/>
    <mergeCell ref="X27:AD27"/>
    <mergeCell ref="X28:AD28"/>
    <mergeCell ref="X29:AD29"/>
    <mergeCell ref="X30:AD30"/>
    <mergeCell ref="X31:AD31"/>
    <mergeCell ref="X22:AD22"/>
    <mergeCell ref="X23:AD23"/>
    <mergeCell ref="X24:AD24"/>
    <mergeCell ref="X25:AD25"/>
    <mergeCell ref="X26:AD26"/>
    <mergeCell ref="X17:AD17"/>
    <mergeCell ref="X18:AD18"/>
    <mergeCell ref="X19:AD19"/>
    <mergeCell ref="X20:AD20"/>
    <mergeCell ref="X21:AD21"/>
    <mergeCell ref="X12:AD12"/>
    <mergeCell ref="X13:AD13"/>
    <mergeCell ref="X14:AD14"/>
    <mergeCell ref="X15:AD15"/>
    <mergeCell ref="X16:AD16"/>
    <mergeCell ref="X7:AD7"/>
    <mergeCell ref="X9:AD9"/>
    <mergeCell ref="X10:AD10"/>
    <mergeCell ref="X11:AD11"/>
    <mergeCell ref="X8:AD8"/>
    <mergeCell ref="V994:W994"/>
    <mergeCell ref="V995:W995"/>
    <mergeCell ref="V996:W996"/>
    <mergeCell ref="V997:W997"/>
    <mergeCell ref="V998:W998"/>
    <mergeCell ref="V989:W989"/>
    <mergeCell ref="V990:W990"/>
    <mergeCell ref="V991:W991"/>
    <mergeCell ref="V992:W992"/>
    <mergeCell ref="V993:W993"/>
    <mergeCell ref="V984:W984"/>
    <mergeCell ref="V985:W985"/>
    <mergeCell ref="V986:W986"/>
    <mergeCell ref="V987:W987"/>
    <mergeCell ref="V988:W988"/>
    <mergeCell ref="V979:W979"/>
    <mergeCell ref="V980:W980"/>
    <mergeCell ref="V981:W981"/>
    <mergeCell ref="V982:W982"/>
    <mergeCell ref="V983:W983"/>
    <mergeCell ref="V974:W974"/>
    <mergeCell ref="V975:W975"/>
    <mergeCell ref="V976:W976"/>
    <mergeCell ref="V977:W977"/>
    <mergeCell ref="V978:W978"/>
    <mergeCell ref="V969:W969"/>
    <mergeCell ref="V970:W970"/>
    <mergeCell ref="V971:W971"/>
    <mergeCell ref="V972:W972"/>
    <mergeCell ref="V973:W973"/>
    <mergeCell ref="V964:W964"/>
    <mergeCell ref="V965:W965"/>
    <mergeCell ref="V966:W966"/>
    <mergeCell ref="V967:W967"/>
    <mergeCell ref="V968:W968"/>
    <mergeCell ref="V959:W959"/>
    <mergeCell ref="V960:W960"/>
    <mergeCell ref="V961:W961"/>
    <mergeCell ref="V962:W962"/>
    <mergeCell ref="V963:W963"/>
    <mergeCell ref="V954:W954"/>
    <mergeCell ref="V955:W955"/>
    <mergeCell ref="V956:W956"/>
    <mergeCell ref="V957:W957"/>
    <mergeCell ref="V958:W958"/>
    <mergeCell ref="V949:W949"/>
    <mergeCell ref="V950:W950"/>
    <mergeCell ref="V951:W951"/>
    <mergeCell ref="V952:W952"/>
    <mergeCell ref="V953:W953"/>
    <mergeCell ref="V944:W944"/>
    <mergeCell ref="V945:W945"/>
    <mergeCell ref="V946:W946"/>
    <mergeCell ref="V947:W947"/>
    <mergeCell ref="V948:W948"/>
    <mergeCell ref="V939:W939"/>
    <mergeCell ref="V940:W940"/>
    <mergeCell ref="V941:W941"/>
    <mergeCell ref="V942:W942"/>
    <mergeCell ref="V943:W943"/>
    <mergeCell ref="V934:W934"/>
    <mergeCell ref="V935:W935"/>
    <mergeCell ref="V936:W936"/>
    <mergeCell ref="V937:W937"/>
    <mergeCell ref="V938:W938"/>
    <mergeCell ref="V929:W929"/>
    <mergeCell ref="V930:W930"/>
    <mergeCell ref="V931:W931"/>
    <mergeCell ref="V932:W932"/>
    <mergeCell ref="V933:W933"/>
    <mergeCell ref="V924:W924"/>
    <mergeCell ref="V925:W925"/>
    <mergeCell ref="V926:W926"/>
    <mergeCell ref="V927:W927"/>
    <mergeCell ref="V928:W928"/>
    <mergeCell ref="V919:W919"/>
    <mergeCell ref="V920:W920"/>
    <mergeCell ref="V921:W921"/>
    <mergeCell ref="V922:W922"/>
    <mergeCell ref="V923:W923"/>
    <mergeCell ref="V914:W914"/>
    <mergeCell ref="V915:W915"/>
    <mergeCell ref="V916:W916"/>
    <mergeCell ref="V917:W917"/>
    <mergeCell ref="V918:W918"/>
    <mergeCell ref="V909:W909"/>
    <mergeCell ref="V910:W910"/>
    <mergeCell ref="V911:W911"/>
    <mergeCell ref="V912:W912"/>
    <mergeCell ref="V913:W913"/>
    <mergeCell ref="V904:W904"/>
    <mergeCell ref="V905:W905"/>
    <mergeCell ref="V906:W906"/>
    <mergeCell ref="V907:W907"/>
    <mergeCell ref="V908:W908"/>
    <mergeCell ref="V899:W899"/>
    <mergeCell ref="V900:W900"/>
    <mergeCell ref="V901:W901"/>
    <mergeCell ref="V902:W902"/>
    <mergeCell ref="V903:W903"/>
    <mergeCell ref="V894:W894"/>
    <mergeCell ref="V895:W895"/>
    <mergeCell ref="V896:W896"/>
    <mergeCell ref="V897:W897"/>
    <mergeCell ref="V898:W898"/>
    <mergeCell ref="V889:W889"/>
    <mergeCell ref="V890:W890"/>
    <mergeCell ref="V891:W891"/>
    <mergeCell ref="V892:W892"/>
    <mergeCell ref="V893:W893"/>
    <mergeCell ref="V884:W884"/>
    <mergeCell ref="V885:W885"/>
    <mergeCell ref="V886:W886"/>
    <mergeCell ref="V887:W887"/>
    <mergeCell ref="V888:W888"/>
    <mergeCell ref="V879:W879"/>
    <mergeCell ref="V880:W880"/>
    <mergeCell ref="V881:W881"/>
    <mergeCell ref="V882:W882"/>
    <mergeCell ref="V883:W883"/>
    <mergeCell ref="V874:W874"/>
    <mergeCell ref="V875:W875"/>
    <mergeCell ref="V876:W876"/>
    <mergeCell ref="V877:W877"/>
    <mergeCell ref="V878:W878"/>
    <mergeCell ref="V869:W869"/>
    <mergeCell ref="V870:W870"/>
    <mergeCell ref="V871:W871"/>
    <mergeCell ref="V872:W872"/>
    <mergeCell ref="V873:W873"/>
    <mergeCell ref="V864:W864"/>
    <mergeCell ref="V865:W865"/>
    <mergeCell ref="V866:W866"/>
    <mergeCell ref="V867:W867"/>
    <mergeCell ref="V868:W868"/>
    <mergeCell ref="V859:W859"/>
    <mergeCell ref="V860:W860"/>
    <mergeCell ref="V861:W861"/>
    <mergeCell ref="V862:W862"/>
    <mergeCell ref="V863:W863"/>
    <mergeCell ref="V854:W854"/>
    <mergeCell ref="V855:W855"/>
    <mergeCell ref="V856:W856"/>
    <mergeCell ref="V857:W857"/>
    <mergeCell ref="V858:W858"/>
    <mergeCell ref="V849:W849"/>
    <mergeCell ref="V850:W850"/>
    <mergeCell ref="V851:W851"/>
    <mergeCell ref="V852:W852"/>
    <mergeCell ref="V853:W853"/>
    <mergeCell ref="V844:W844"/>
    <mergeCell ref="V845:W845"/>
    <mergeCell ref="V846:W846"/>
    <mergeCell ref="V847:W847"/>
    <mergeCell ref="V848:W848"/>
    <mergeCell ref="V839:W839"/>
    <mergeCell ref="V840:W840"/>
    <mergeCell ref="V841:W841"/>
    <mergeCell ref="V842:W842"/>
    <mergeCell ref="V843:W843"/>
    <mergeCell ref="V834:W834"/>
    <mergeCell ref="V835:W835"/>
    <mergeCell ref="V836:W836"/>
    <mergeCell ref="V837:W837"/>
    <mergeCell ref="V838:W838"/>
    <mergeCell ref="V829:W829"/>
    <mergeCell ref="V830:W830"/>
    <mergeCell ref="V831:W831"/>
    <mergeCell ref="V832:W832"/>
    <mergeCell ref="V833:W833"/>
    <mergeCell ref="V824:W824"/>
    <mergeCell ref="V825:W825"/>
    <mergeCell ref="V826:W826"/>
    <mergeCell ref="V827:W827"/>
    <mergeCell ref="V828:W828"/>
    <mergeCell ref="V819:W819"/>
    <mergeCell ref="V820:W820"/>
    <mergeCell ref="V821:W821"/>
    <mergeCell ref="V822:W822"/>
    <mergeCell ref="V823:W823"/>
    <mergeCell ref="V814:W814"/>
    <mergeCell ref="V815:W815"/>
    <mergeCell ref="V816:W816"/>
    <mergeCell ref="V817:W817"/>
    <mergeCell ref="V818:W818"/>
    <mergeCell ref="V809:W809"/>
    <mergeCell ref="V810:W810"/>
    <mergeCell ref="V811:W811"/>
    <mergeCell ref="V812:W812"/>
    <mergeCell ref="V813:W813"/>
    <mergeCell ref="V804:W804"/>
    <mergeCell ref="V805:W805"/>
    <mergeCell ref="V806:W806"/>
    <mergeCell ref="V807:W807"/>
    <mergeCell ref="V808:W808"/>
    <mergeCell ref="V799:W799"/>
    <mergeCell ref="V800:W800"/>
    <mergeCell ref="V801:W801"/>
    <mergeCell ref="V802:W802"/>
    <mergeCell ref="V803:W803"/>
    <mergeCell ref="V794:W794"/>
    <mergeCell ref="V795:W795"/>
    <mergeCell ref="V796:W796"/>
    <mergeCell ref="V797:W797"/>
    <mergeCell ref="V798:W798"/>
    <mergeCell ref="V789:W789"/>
    <mergeCell ref="V790:W790"/>
    <mergeCell ref="V791:W791"/>
    <mergeCell ref="V792:W792"/>
    <mergeCell ref="V793:W793"/>
    <mergeCell ref="V784:W784"/>
    <mergeCell ref="V785:W785"/>
    <mergeCell ref="V786:W786"/>
    <mergeCell ref="V787:W787"/>
    <mergeCell ref="V788:W788"/>
    <mergeCell ref="V779:W779"/>
    <mergeCell ref="V780:W780"/>
    <mergeCell ref="V781:W781"/>
    <mergeCell ref="V782:W782"/>
    <mergeCell ref="V783:W783"/>
    <mergeCell ref="V774:W774"/>
    <mergeCell ref="V775:W775"/>
    <mergeCell ref="V776:W776"/>
    <mergeCell ref="V777:W777"/>
    <mergeCell ref="V778:W778"/>
    <mergeCell ref="V769:W769"/>
    <mergeCell ref="V770:W770"/>
    <mergeCell ref="V771:W771"/>
    <mergeCell ref="V772:W772"/>
    <mergeCell ref="V773:W773"/>
    <mergeCell ref="V764:W764"/>
    <mergeCell ref="V765:W765"/>
    <mergeCell ref="V766:W766"/>
    <mergeCell ref="V767:W767"/>
    <mergeCell ref="V768:W768"/>
    <mergeCell ref="V759:W759"/>
    <mergeCell ref="V760:W760"/>
    <mergeCell ref="V761:W761"/>
    <mergeCell ref="V762:W762"/>
    <mergeCell ref="V763:W763"/>
    <mergeCell ref="V754:W754"/>
    <mergeCell ref="V755:W755"/>
    <mergeCell ref="V756:W756"/>
    <mergeCell ref="V757:W757"/>
    <mergeCell ref="V758:W758"/>
    <mergeCell ref="V749:W749"/>
    <mergeCell ref="V750:W750"/>
    <mergeCell ref="V751:W751"/>
    <mergeCell ref="V752:W752"/>
    <mergeCell ref="V753:W753"/>
    <mergeCell ref="V744:W744"/>
    <mergeCell ref="V745:W745"/>
    <mergeCell ref="V746:W746"/>
    <mergeCell ref="V747:W747"/>
    <mergeCell ref="V748:W748"/>
    <mergeCell ref="V739:W739"/>
    <mergeCell ref="V740:W740"/>
    <mergeCell ref="V741:W741"/>
    <mergeCell ref="V742:W742"/>
    <mergeCell ref="V743:W743"/>
    <mergeCell ref="V734:W734"/>
    <mergeCell ref="V735:W735"/>
    <mergeCell ref="V736:W736"/>
    <mergeCell ref="V737:W737"/>
    <mergeCell ref="V738:W738"/>
    <mergeCell ref="V729:W729"/>
    <mergeCell ref="V730:W730"/>
    <mergeCell ref="V731:W731"/>
    <mergeCell ref="V732:W732"/>
    <mergeCell ref="V733:W733"/>
    <mergeCell ref="V724:W724"/>
    <mergeCell ref="V725:W725"/>
    <mergeCell ref="V726:W726"/>
    <mergeCell ref="V727:W727"/>
    <mergeCell ref="V728:W728"/>
    <mergeCell ref="V719:W719"/>
    <mergeCell ref="V720:W720"/>
    <mergeCell ref="V721:W721"/>
    <mergeCell ref="V722:W722"/>
    <mergeCell ref="V723:W723"/>
    <mergeCell ref="V714:W714"/>
    <mergeCell ref="V715:W715"/>
    <mergeCell ref="V716:W716"/>
    <mergeCell ref="V717:W717"/>
    <mergeCell ref="V718:W718"/>
    <mergeCell ref="V709:W709"/>
    <mergeCell ref="V710:W710"/>
    <mergeCell ref="V711:W711"/>
    <mergeCell ref="V712:W712"/>
    <mergeCell ref="V713:W713"/>
    <mergeCell ref="V704:W704"/>
    <mergeCell ref="V705:W705"/>
    <mergeCell ref="V706:W706"/>
    <mergeCell ref="V707:W707"/>
    <mergeCell ref="V708:W708"/>
    <mergeCell ref="V699:W699"/>
    <mergeCell ref="V700:W700"/>
    <mergeCell ref="V701:W701"/>
    <mergeCell ref="V702:W702"/>
    <mergeCell ref="V703:W703"/>
    <mergeCell ref="V694:W694"/>
    <mergeCell ref="V695:W695"/>
    <mergeCell ref="V696:W696"/>
    <mergeCell ref="V697:W697"/>
    <mergeCell ref="V698:W698"/>
    <mergeCell ref="V689:W689"/>
    <mergeCell ref="V690:W690"/>
    <mergeCell ref="V691:W691"/>
    <mergeCell ref="V692:W692"/>
    <mergeCell ref="V693:W693"/>
    <mergeCell ref="V684:W684"/>
    <mergeCell ref="V685:W685"/>
    <mergeCell ref="V686:W686"/>
    <mergeCell ref="V687:W687"/>
    <mergeCell ref="V688:W688"/>
    <mergeCell ref="V679:W679"/>
    <mergeCell ref="V680:W680"/>
    <mergeCell ref="V681:W681"/>
    <mergeCell ref="V682:W682"/>
    <mergeCell ref="V683:W683"/>
    <mergeCell ref="V674:W674"/>
    <mergeCell ref="V675:W675"/>
    <mergeCell ref="V676:W676"/>
    <mergeCell ref="V677:W677"/>
    <mergeCell ref="V678:W678"/>
    <mergeCell ref="V669:W669"/>
    <mergeCell ref="V670:W670"/>
    <mergeCell ref="V671:W671"/>
    <mergeCell ref="V672:W672"/>
    <mergeCell ref="V673:W673"/>
    <mergeCell ref="V664:W664"/>
    <mergeCell ref="V665:W665"/>
    <mergeCell ref="V666:W666"/>
    <mergeCell ref="V667:W667"/>
    <mergeCell ref="V668:W668"/>
    <mergeCell ref="V659:W659"/>
    <mergeCell ref="V660:W660"/>
    <mergeCell ref="V661:W661"/>
    <mergeCell ref="V662:W662"/>
    <mergeCell ref="V663:W663"/>
    <mergeCell ref="V654:W654"/>
    <mergeCell ref="V655:W655"/>
    <mergeCell ref="V656:W656"/>
    <mergeCell ref="V657:W657"/>
    <mergeCell ref="V658:W658"/>
    <mergeCell ref="V649:W649"/>
    <mergeCell ref="V650:W650"/>
    <mergeCell ref="V651:W651"/>
    <mergeCell ref="V652:W652"/>
    <mergeCell ref="V653:W653"/>
    <mergeCell ref="V644:W644"/>
    <mergeCell ref="V645:W645"/>
    <mergeCell ref="V646:W646"/>
    <mergeCell ref="V647:W647"/>
    <mergeCell ref="V648:W648"/>
    <mergeCell ref="V639:W639"/>
    <mergeCell ref="V640:W640"/>
    <mergeCell ref="V641:W641"/>
    <mergeCell ref="V642:W642"/>
    <mergeCell ref="V643:W643"/>
    <mergeCell ref="V634:W634"/>
    <mergeCell ref="V635:W635"/>
    <mergeCell ref="V636:W636"/>
    <mergeCell ref="V637:W637"/>
    <mergeCell ref="V638:W638"/>
    <mergeCell ref="V629:W629"/>
    <mergeCell ref="V630:W630"/>
    <mergeCell ref="V631:W631"/>
    <mergeCell ref="V632:W632"/>
    <mergeCell ref="V633:W633"/>
    <mergeCell ref="V624:W624"/>
    <mergeCell ref="V625:W625"/>
    <mergeCell ref="V626:W626"/>
    <mergeCell ref="V627:W627"/>
    <mergeCell ref="V628:W628"/>
    <mergeCell ref="V619:W619"/>
    <mergeCell ref="V620:W620"/>
    <mergeCell ref="V621:W621"/>
    <mergeCell ref="V622:W622"/>
    <mergeCell ref="V623:W623"/>
    <mergeCell ref="V614:W614"/>
    <mergeCell ref="V615:W615"/>
    <mergeCell ref="V616:W616"/>
    <mergeCell ref="V617:W617"/>
    <mergeCell ref="V618:W618"/>
    <mergeCell ref="V609:W609"/>
    <mergeCell ref="V610:W610"/>
    <mergeCell ref="V611:W611"/>
    <mergeCell ref="V612:W612"/>
    <mergeCell ref="V613:W613"/>
    <mergeCell ref="V604:W604"/>
    <mergeCell ref="V605:W605"/>
    <mergeCell ref="V606:W606"/>
    <mergeCell ref="V607:W607"/>
    <mergeCell ref="V608:W608"/>
    <mergeCell ref="V599:W599"/>
    <mergeCell ref="V600:W600"/>
    <mergeCell ref="V601:W601"/>
    <mergeCell ref="V602:W602"/>
    <mergeCell ref="V603:W603"/>
    <mergeCell ref="V594:W594"/>
    <mergeCell ref="V595:W595"/>
    <mergeCell ref="V596:W596"/>
    <mergeCell ref="V597:W597"/>
    <mergeCell ref="V598:W598"/>
    <mergeCell ref="V589:W589"/>
    <mergeCell ref="V590:W590"/>
    <mergeCell ref="V591:W591"/>
    <mergeCell ref="V592:W592"/>
    <mergeCell ref="V593:W593"/>
    <mergeCell ref="V584:W584"/>
    <mergeCell ref="V585:W585"/>
    <mergeCell ref="V586:W586"/>
    <mergeCell ref="V587:W587"/>
    <mergeCell ref="V588:W588"/>
    <mergeCell ref="V579:W579"/>
    <mergeCell ref="V580:W580"/>
    <mergeCell ref="V581:W581"/>
    <mergeCell ref="V582:W582"/>
    <mergeCell ref="V583:W583"/>
    <mergeCell ref="V574:W574"/>
    <mergeCell ref="V575:W575"/>
    <mergeCell ref="V576:W576"/>
    <mergeCell ref="V577:W577"/>
    <mergeCell ref="V578:W578"/>
    <mergeCell ref="V569:W569"/>
    <mergeCell ref="V570:W570"/>
    <mergeCell ref="V571:W571"/>
    <mergeCell ref="V572:W572"/>
    <mergeCell ref="V573:W573"/>
    <mergeCell ref="V564:W564"/>
    <mergeCell ref="V565:W565"/>
    <mergeCell ref="V566:W566"/>
    <mergeCell ref="V567:W567"/>
    <mergeCell ref="V568:W568"/>
    <mergeCell ref="V559:W559"/>
    <mergeCell ref="V560:W560"/>
    <mergeCell ref="V561:W561"/>
    <mergeCell ref="V562:W562"/>
    <mergeCell ref="V563:W563"/>
    <mergeCell ref="V554:W554"/>
    <mergeCell ref="V555:W555"/>
    <mergeCell ref="V556:W556"/>
    <mergeCell ref="V557:W557"/>
    <mergeCell ref="V558:W558"/>
    <mergeCell ref="V549:W549"/>
    <mergeCell ref="V550:W550"/>
    <mergeCell ref="V551:W551"/>
    <mergeCell ref="V552:W552"/>
    <mergeCell ref="V553:W553"/>
    <mergeCell ref="V544:W544"/>
    <mergeCell ref="V545:W545"/>
    <mergeCell ref="V546:W546"/>
    <mergeCell ref="V547:W547"/>
    <mergeCell ref="V548:W548"/>
    <mergeCell ref="V539:W539"/>
    <mergeCell ref="V540:W540"/>
    <mergeCell ref="V541:W541"/>
    <mergeCell ref="V542:W542"/>
    <mergeCell ref="V543:W543"/>
    <mergeCell ref="V534:W534"/>
    <mergeCell ref="V535:W535"/>
    <mergeCell ref="V536:W536"/>
    <mergeCell ref="V537:W537"/>
    <mergeCell ref="V538:W538"/>
    <mergeCell ref="V529:W529"/>
    <mergeCell ref="V530:W530"/>
    <mergeCell ref="V531:W531"/>
    <mergeCell ref="V532:W532"/>
    <mergeCell ref="V533:W533"/>
    <mergeCell ref="V524:W524"/>
    <mergeCell ref="V525:W525"/>
    <mergeCell ref="V526:W526"/>
    <mergeCell ref="V527:W527"/>
    <mergeCell ref="V528:W528"/>
    <mergeCell ref="V519:W519"/>
    <mergeCell ref="V520:W520"/>
    <mergeCell ref="V521:W521"/>
    <mergeCell ref="V522:W522"/>
    <mergeCell ref="V523:W523"/>
    <mergeCell ref="V514:W514"/>
    <mergeCell ref="V515:W515"/>
    <mergeCell ref="V516:W516"/>
    <mergeCell ref="V517:W517"/>
    <mergeCell ref="V518:W518"/>
    <mergeCell ref="V509:W509"/>
    <mergeCell ref="V510:W510"/>
    <mergeCell ref="V511:W511"/>
    <mergeCell ref="V512:W512"/>
    <mergeCell ref="V513:W513"/>
    <mergeCell ref="V504:W504"/>
    <mergeCell ref="V505:W505"/>
    <mergeCell ref="V506:W506"/>
    <mergeCell ref="V507:W507"/>
    <mergeCell ref="V508:W508"/>
    <mergeCell ref="V499:W499"/>
    <mergeCell ref="V500:W500"/>
    <mergeCell ref="V501:W501"/>
    <mergeCell ref="V502:W502"/>
    <mergeCell ref="V503:W503"/>
    <mergeCell ref="V494:W494"/>
    <mergeCell ref="V495:W495"/>
    <mergeCell ref="V496:W496"/>
    <mergeCell ref="V497:W497"/>
    <mergeCell ref="V498:W498"/>
    <mergeCell ref="V489:W489"/>
    <mergeCell ref="V490:W490"/>
    <mergeCell ref="V491:W491"/>
    <mergeCell ref="V492:W492"/>
    <mergeCell ref="V493:W493"/>
    <mergeCell ref="V484:W484"/>
    <mergeCell ref="V485:W485"/>
    <mergeCell ref="V486:W486"/>
    <mergeCell ref="V487:W487"/>
    <mergeCell ref="V488:W488"/>
    <mergeCell ref="V479:W479"/>
    <mergeCell ref="V480:W480"/>
    <mergeCell ref="V481:W481"/>
    <mergeCell ref="V482:W482"/>
    <mergeCell ref="V483:W483"/>
    <mergeCell ref="V474:W474"/>
    <mergeCell ref="V475:W475"/>
    <mergeCell ref="V476:W476"/>
    <mergeCell ref="V477:W477"/>
    <mergeCell ref="V478:W478"/>
    <mergeCell ref="V469:W469"/>
    <mergeCell ref="V470:W470"/>
    <mergeCell ref="V471:W471"/>
    <mergeCell ref="V472:W472"/>
    <mergeCell ref="V473:W473"/>
    <mergeCell ref="V464:W464"/>
    <mergeCell ref="V465:W465"/>
    <mergeCell ref="V466:W466"/>
    <mergeCell ref="V467:W467"/>
    <mergeCell ref="V468:W468"/>
    <mergeCell ref="V459:W459"/>
    <mergeCell ref="V460:W460"/>
    <mergeCell ref="V461:W461"/>
    <mergeCell ref="V462:W462"/>
    <mergeCell ref="V463:W463"/>
    <mergeCell ref="V454:W454"/>
    <mergeCell ref="V455:W455"/>
    <mergeCell ref="V456:W456"/>
    <mergeCell ref="V457:W457"/>
    <mergeCell ref="V458:W458"/>
    <mergeCell ref="V449:W449"/>
    <mergeCell ref="V450:W450"/>
    <mergeCell ref="V451:W451"/>
    <mergeCell ref="V452:W452"/>
    <mergeCell ref="V453:W453"/>
    <mergeCell ref="V444:W444"/>
    <mergeCell ref="V445:W445"/>
    <mergeCell ref="V446:W446"/>
    <mergeCell ref="V447:W447"/>
    <mergeCell ref="V448:W448"/>
    <mergeCell ref="V439:W439"/>
    <mergeCell ref="V440:W440"/>
    <mergeCell ref="V441:W441"/>
    <mergeCell ref="V442:W442"/>
    <mergeCell ref="V443:W443"/>
    <mergeCell ref="V434:W434"/>
    <mergeCell ref="V435:W435"/>
    <mergeCell ref="V436:W436"/>
    <mergeCell ref="V437:W437"/>
    <mergeCell ref="V438:W438"/>
    <mergeCell ref="V429:W429"/>
    <mergeCell ref="V430:W430"/>
    <mergeCell ref="V431:W431"/>
    <mergeCell ref="V432:W432"/>
    <mergeCell ref="V433:W433"/>
    <mergeCell ref="V424:W424"/>
    <mergeCell ref="V425:W425"/>
    <mergeCell ref="V426:W426"/>
    <mergeCell ref="V427:W427"/>
    <mergeCell ref="V428:W428"/>
    <mergeCell ref="V419:W419"/>
    <mergeCell ref="V420:W420"/>
    <mergeCell ref="V421:W421"/>
    <mergeCell ref="V422:W422"/>
    <mergeCell ref="V423:W423"/>
    <mergeCell ref="V414:W414"/>
    <mergeCell ref="V415:W415"/>
    <mergeCell ref="V416:W416"/>
    <mergeCell ref="V417:W417"/>
    <mergeCell ref="V418:W418"/>
    <mergeCell ref="V409:W409"/>
    <mergeCell ref="V410:W410"/>
    <mergeCell ref="V411:W411"/>
    <mergeCell ref="V412:W412"/>
    <mergeCell ref="V413:W413"/>
    <mergeCell ref="V404:W404"/>
    <mergeCell ref="V405:W405"/>
    <mergeCell ref="V406:W406"/>
    <mergeCell ref="V407:W407"/>
    <mergeCell ref="V408:W408"/>
    <mergeCell ref="V399:W399"/>
    <mergeCell ref="V400:W400"/>
    <mergeCell ref="V401:W401"/>
    <mergeCell ref="V402:W402"/>
    <mergeCell ref="V403:W403"/>
    <mergeCell ref="V394:W394"/>
    <mergeCell ref="V395:W395"/>
    <mergeCell ref="V396:W396"/>
    <mergeCell ref="V397:W397"/>
    <mergeCell ref="V398:W398"/>
    <mergeCell ref="V389:W389"/>
    <mergeCell ref="V390:W390"/>
    <mergeCell ref="V391:W391"/>
    <mergeCell ref="V392:W392"/>
    <mergeCell ref="V393:W393"/>
    <mergeCell ref="V384:W384"/>
    <mergeCell ref="V385:W385"/>
    <mergeCell ref="V386:W386"/>
    <mergeCell ref="V387:W387"/>
    <mergeCell ref="V388:W388"/>
    <mergeCell ref="V379:W379"/>
    <mergeCell ref="V380:W380"/>
    <mergeCell ref="V381:W381"/>
    <mergeCell ref="V382:W382"/>
    <mergeCell ref="V383:W383"/>
    <mergeCell ref="V374:W374"/>
    <mergeCell ref="V375:W375"/>
    <mergeCell ref="V376:W376"/>
    <mergeCell ref="V377:W377"/>
    <mergeCell ref="V378:W378"/>
    <mergeCell ref="V369:W369"/>
    <mergeCell ref="V370:W370"/>
    <mergeCell ref="V371:W371"/>
    <mergeCell ref="V372:W372"/>
    <mergeCell ref="V373:W373"/>
    <mergeCell ref="V364:W364"/>
    <mergeCell ref="V365:W365"/>
    <mergeCell ref="V366:W366"/>
    <mergeCell ref="V367:W367"/>
    <mergeCell ref="V368:W368"/>
    <mergeCell ref="V359:W359"/>
    <mergeCell ref="V360:W360"/>
    <mergeCell ref="V361:W361"/>
    <mergeCell ref="V362:W362"/>
    <mergeCell ref="V363:W363"/>
    <mergeCell ref="V354:W354"/>
    <mergeCell ref="V355:W355"/>
    <mergeCell ref="V356:W356"/>
    <mergeCell ref="V357:W357"/>
    <mergeCell ref="V358:W358"/>
    <mergeCell ref="V349:W349"/>
    <mergeCell ref="V350:W350"/>
    <mergeCell ref="V351:W351"/>
    <mergeCell ref="V352:W352"/>
    <mergeCell ref="V353:W353"/>
    <mergeCell ref="V344:W344"/>
    <mergeCell ref="V345:W345"/>
    <mergeCell ref="V346:W346"/>
    <mergeCell ref="V347:W347"/>
    <mergeCell ref="V348:W348"/>
    <mergeCell ref="V339:W339"/>
    <mergeCell ref="V340:W340"/>
    <mergeCell ref="V341:W341"/>
    <mergeCell ref="V342:W342"/>
    <mergeCell ref="V343:W343"/>
    <mergeCell ref="V334:W334"/>
    <mergeCell ref="V335:W335"/>
    <mergeCell ref="V336:W336"/>
    <mergeCell ref="V337:W337"/>
    <mergeCell ref="V338:W338"/>
    <mergeCell ref="V329:W329"/>
    <mergeCell ref="V330:W330"/>
    <mergeCell ref="V331:W331"/>
    <mergeCell ref="V332:W332"/>
    <mergeCell ref="V333:W333"/>
    <mergeCell ref="V324:W324"/>
    <mergeCell ref="V325:W325"/>
    <mergeCell ref="V326:W326"/>
    <mergeCell ref="V327:W327"/>
    <mergeCell ref="V328:W328"/>
    <mergeCell ref="V319:W319"/>
    <mergeCell ref="V320:W320"/>
    <mergeCell ref="V321:W321"/>
    <mergeCell ref="V322:W322"/>
    <mergeCell ref="V323:W323"/>
    <mergeCell ref="V314:W314"/>
    <mergeCell ref="V315:W315"/>
    <mergeCell ref="V316:W316"/>
    <mergeCell ref="V317:W317"/>
    <mergeCell ref="V318:W318"/>
    <mergeCell ref="V309:W309"/>
    <mergeCell ref="V310:W310"/>
    <mergeCell ref="V311:W311"/>
    <mergeCell ref="V312:W312"/>
    <mergeCell ref="V313:W313"/>
    <mergeCell ref="V304:W304"/>
    <mergeCell ref="V305:W305"/>
    <mergeCell ref="V306:W306"/>
    <mergeCell ref="V307:W307"/>
    <mergeCell ref="V308:W308"/>
    <mergeCell ref="V299:W299"/>
    <mergeCell ref="V300:W300"/>
    <mergeCell ref="V301:W301"/>
    <mergeCell ref="V302:W302"/>
    <mergeCell ref="V303:W303"/>
    <mergeCell ref="V294:W294"/>
    <mergeCell ref="V295:W295"/>
    <mergeCell ref="V296:W296"/>
    <mergeCell ref="V297:W297"/>
    <mergeCell ref="V298:W298"/>
    <mergeCell ref="V289:W289"/>
    <mergeCell ref="V290:W290"/>
    <mergeCell ref="V291:W291"/>
    <mergeCell ref="V292:W292"/>
    <mergeCell ref="V293:W293"/>
    <mergeCell ref="V284:W284"/>
    <mergeCell ref="V285:W285"/>
    <mergeCell ref="V286:W286"/>
    <mergeCell ref="V287:W287"/>
    <mergeCell ref="V288:W288"/>
    <mergeCell ref="V279:W279"/>
    <mergeCell ref="V280:W280"/>
    <mergeCell ref="V281:W281"/>
    <mergeCell ref="V282:W282"/>
    <mergeCell ref="V283:W283"/>
    <mergeCell ref="V274:W274"/>
    <mergeCell ref="V275:W275"/>
    <mergeCell ref="V276:W276"/>
    <mergeCell ref="V277:W277"/>
    <mergeCell ref="V278:W278"/>
    <mergeCell ref="V269:W269"/>
    <mergeCell ref="V270:W270"/>
    <mergeCell ref="V271:W271"/>
    <mergeCell ref="V272:W272"/>
    <mergeCell ref="V273:W273"/>
    <mergeCell ref="V264:W264"/>
    <mergeCell ref="V265:W265"/>
    <mergeCell ref="V266:W266"/>
    <mergeCell ref="V267:W267"/>
    <mergeCell ref="V268:W268"/>
    <mergeCell ref="V259:W259"/>
    <mergeCell ref="V260:W260"/>
    <mergeCell ref="V261:W261"/>
    <mergeCell ref="V262:W262"/>
    <mergeCell ref="V263:W263"/>
    <mergeCell ref="V254:W254"/>
    <mergeCell ref="V255:W255"/>
    <mergeCell ref="V256:W256"/>
    <mergeCell ref="V257:W257"/>
    <mergeCell ref="V258:W258"/>
    <mergeCell ref="V249:W249"/>
    <mergeCell ref="V250:W250"/>
    <mergeCell ref="V251:W251"/>
    <mergeCell ref="V252:W252"/>
    <mergeCell ref="V253:W253"/>
    <mergeCell ref="V244:W244"/>
    <mergeCell ref="V245:W245"/>
    <mergeCell ref="V246:W246"/>
    <mergeCell ref="V247:W247"/>
    <mergeCell ref="V248:W248"/>
    <mergeCell ref="V239:W239"/>
    <mergeCell ref="V240:W240"/>
    <mergeCell ref="V241:W241"/>
    <mergeCell ref="V242:W242"/>
    <mergeCell ref="V243:W243"/>
    <mergeCell ref="V234:W234"/>
    <mergeCell ref="V235:W235"/>
    <mergeCell ref="V236:W236"/>
    <mergeCell ref="V237:W237"/>
    <mergeCell ref="V238:W238"/>
    <mergeCell ref="V229:W229"/>
    <mergeCell ref="V230:W230"/>
    <mergeCell ref="V231:W231"/>
    <mergeCell ref="V232:W232"/>
    <mergeCell ref="V233:W233"/>
    <mergeCell ref="V224:W224"/>
    <mergeCell ref="V225:W225"/>
    <mergeCell ref="V226:W226"/>
    <mergeCell ref="V227:W227"/>
    <mergeCell ref="V228:W228"/>
    <mergeCell ref="V219:W219"/>
    <mergeCell ref="V220:W220"/>
    <mergeCell ref="V221:W221"/>
    <mergeCell ref="V222:W222"/>
    <mergeCell ref="V223:W223"/>
    <mergeCell ref="V214:W214"/>
    <mergeCell ref="V215:W215"/>
    <mergeCell ref="V216:W216"/>
    <mergeCell ref="V217:W217"/>
    <mergeCell ref="V218:W218"/>
    <mergeCell ref="V209:W209"/>
    <mergeCell ref="V210:W210"/>
    <mergeCell ref="V211:W211"/>
    <mergeCell ref="V212:W212"/>
    <mergeCell ref="V213:W213"/>
    <mergeCell ref="V204:W204"/>
    <mergeCell ref="V205:W205"/>
    <mergeCell ref="V206:W206"/>
    <mergeCell ref="V207:W207"/>
    <mergeCell ref="V208:W208"/>
    <mergeCell ref="V199:W199"/>
    <mergeCell ref="V200:W200"/>
    <mergeCell ref="V201:W201"/>
    <mergeCell ref="V202:W202"/>
    <mergeCell ref="V203:W203"/>
    <mergeCell ref="V194:W194"/>
    <mergeCell ref="V195:W195"/>
    <mergeCell ref="V196:W196"/>
    <mergeCell ref="V197:W197"/>
    <mergeCell ref="V198:W198"/>
    <mergeCell ref="V189:W189"/>
    <mergeCell ref="V190:W190"/>
    <mergeCell ref="V191:W191"/>
    <mergeCell ref="V192:W192"/>
    <mergeCell ref="V193:W193"/>
    <mergeCell ref="V184:W184"/>
    <mergeCell ref="V185:W185"/>
    <mergeCell ref="V186:W186"/>
    <mergeCell ref="V187:W187"/>
    <mergeCell ref="V188:W188"/>
    <mergeCell ref="V179:W179"/>
    <mergeCell ref="V180:W180"/>
    <mergeCell ref="V181:W181"/>
    <mergeCell ref="V182:W182"/>
    <mergeCell ref="V183:W183"/>
    <mergeCell ref="V174:W174"/>
    <mergeCell ref="V175:W175"/>
    <mergeCell ref="V176:W176"/>
    <mergeCell ref="V177:W177"/>
    <mergeCell ref="V178:W178"/>
    <mergeCell ref="V169:W169"/>
    <mergeCell ref="V170:W170"/>
    <mergeCell ref="V171:W171"/>
    <mergeCell ref="V172:W172"/>
    <mergeCell ref="V173:W173"/>
    <mergeCell ref="V164:W164"/>
    <mergeCell ref="V165:W165"/>
    <mergeCell ref="V166:W166"/>
    <mergeCell ref="V167:W167"/>
    <mergeCell ref="V168:W168"/>
    <mergeCell ref="V159:W159"/>
    <mergeCell ref="V160:W160"/>
    <mergeCell ref="V161:W161"/>
    <mergeCell ref="V162:W162"/>
    <mergeCell ref="V163:W163"/>
    <mergeCell ref="V154:W154"/>
    <mergeCell ref="V155:W155"/>
    <mergeCell ref="V156:W156"/>
    <mergeCell ref="V157:W157"/>
    <mergeCell ref="V158:W158"/>
    <mergeCell ref="V149:W149"/>
    <mergeCell ref="V150:W150"/>
    <mergeCell ref="V151:W151"/>
    <mergeCell ref="V152:W152"/>
    <mergeCell ref="V153:W153"/>
    <mergeCell ref="V144:W144"/>
    <mergeCell ref="V145:W145"/>
    <mergeCell ref="V146:W146"/>
    <mergeCell ref="V147:W147"/>
    <mergeCell ref="V148:W148"/>
    <mergeCell ref="V139:W139"/>
    <mergeCell ref="V140:W140"/>
    <mergeCell ref="V141:W141"/>
    <mergeCell ref="V142:W142"/>
    <mergeCell ref="V143:W143"/>
    <mergeCell ref="V134:W134"/>
    <mergeCell ref="V135:W135"/>
    <mergeCell ref="V136:W136"/>
    <mergeCell ref="V137:W137"/>
    <mergeCell ref="V138:W138"/>
    <mergeCell ref="V129:W129"/>
    <mergeCell ref="V130:W130"/>
    <mergeCell ref="V131:W131"/>
    <mergeCell ref="V132:W132"/>
    <mergeCell ref="V133:W133"/>
    <mergeCell ref="V124:W124"/>
    <mergeCell ref="V125:W125"/>
    <mergeCell ref="V126:W126"/>
    <mergeCell ref="V127:W127"/>
    <mergeCell ref="V128:W128"/>
    <mergeCell ref="V119:W119"/>
    <mergeCell ref="V120:W120"/>
    <mergeCell ref="V121:W121"/>
    <mergeCell ref="V122:W122"/>
    <mergeCell ref="V123:W123"/>
    <mergeCell ref="V114:W114"/>
    <mergeCell ref="V115:W115"/>
    <mergeCell ref="V116:W116"/>
    <mergeCell ref="V117:W117"/>
    <mergeCell ref="V118:W118"/>
    <mergeCell ref="V109:W109"/>
    <mergeCell ref="V110:W110"/>
    <mergeCell ref="V111:W111"/>
    <mergeCell ref="V112:W112"/>
    <mergeCell ref="V113:W113"/>
    <mergeCell ref="V104:W104"/>
    <mergeCell ref="V105:W105"/>
    <mergeCell ref="V106:W106"/>
    <mergeCell ref="V107:W107"/>
    <mergeCell ref="V108:W108"/>
    <mergeCell ref="V99:W99"/>
    <mergeCell ref="V100:W100"/>
    <mergeCell ref="V101:W101"/>
    <mergeCell ref="V102:W102"/>
    <mergeCell ref="V103:W103"/>
    <mergeCell ref="V94:W94"/>
    <mergeCell ref="V95:W95"/>
    <mergeCell ref="V96:W96"/>
    <mergeCell ref="V97:W97"/>
    <mergeCell ref="V98:W98"/>
    <mergeCell ref="V89:W89"/>
    <mergeCell ref="V90:W90"/>
    <mergeCell ref="V91:W91"/>
    <mergeCell ref="V92:W92"/>
    <mergeCell ref="V93:W93"/>
    <mergeCell ref="V84:W84"/>
    <mergeCell ref="V85:W85"/>
    <mergeCell ref="V86:W86"/>
    <mergeCell ref="V87:W87"/>
    <mergeCell ref="V88:W88"/>
    <mergeCell ref="V79:W79"/>
    <mergeCell ref="V80:W80"/>
    <mergeCell ref="V81:W81"/>
    <mergeCell ref="V82:W82"/>
    <mergeCell ref="V83:W83"/>
    <mergeCell ref="V74:W74"/>
    <mergeCell ref="V75:W75"/>
    <mergeCell ref="V76:W76"/>
    <mergeCell ref="V77:W77"/>
    <mergeCell ref="V78:W78"/>
    <mergeCell ref="V69:W69"/>
    <mergeCell ref="V70:W70"/>
    <mergeCell ref="V71:W71"/>
    <mergeCell ref="V72:W72"/>
    <mergeCell ref="V73:W73"/>
    <mergeCell ref="V64:W64"/>
    <mergeCell ref="V65:W65"/>
    <mergeCell ref="V66:W66"/>
    <mergeCell ref="V67:W67"/>
    <mergeCell ref="V68:W68"/>
    <mergeCell ref="V59:W59"/>
    <mergeCell ref="V60:W60"/>
    <mergeCell ref="V61:W61"/>
    <mergeCell ref="V62:W62"/>
    <mergeCell ref="V63:W63"/>
    <mergeCell ref="V54:W54"/>
    <mergeCell ref="V55:W55"/>
    <mergeCell ref="V56:W56"/>
    <mergeCell ref="V57:W57"/>
    <mergeCell ref="V58:W58"/>
    <mergeCell ref="V49:W49"/>
    <mergeCell ref="V50:W50"/>
    <mergeCell ref="V51:W51"/>
    <mergeCell ref="V52:W52"/>
    <mergeCell ref="V53:W53"/>
    <mergeCell ref="V44:W44"/>
    <mergeCell ref="V45:W45"/>
    <mergeCell ref="V46:W46"/>
    <mergeCell ref="V47:W47"/>
    <mergeCell ref="V48:W48"/>
    <mergeCell ref="V39:W39"/>
    <mergeCell ref="V40:W40"/>
    <mergeCell ref="V41:W41"/>
    <mergeCell ref="V42:W42"/>
    <mergeCell ref="V43:W43"/>
    <mergeCell ref="V34:W34"/>
    <mergeCell ref="V35:W35"/>
    <mergeCell ref="V36:W36"/>
    <mergeCell ref="V37:W37"/>
    <mergeCell ref="V38:W38"/>
    <mergeCell ref="V29:W29"/>
    <mergeCell ref="V30:W30"/>
    <mergeCell ref="V31:W31"/>
    <mergeCell ref="V32:W32"/>
    <mergeCell ref="V33:W33"/>
    <mergeCell ref="V24:W24"/>
    <mergeCell ref="V25:W25"/>
    <mergeCell ref="V26:W26"/>
    <mergeCell ref="V27:W27"/>
    <mergeCell ref="V28:W28"/>
    <mergeCell ref="V19:W19"/>
    <mergeCell ref="V20:W20"/>
    <mergeCell ref="V21:W21"/>
    <mergeCell ref="V22:W22"/>
    <mergeCell ref="V23:W23"/>
    <mergeCell ref="T997:U997"/>
    <mergeCell ref="T998:U998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T992:U992"/>
    <mergeCell ref="T993:U993"/>
    <mergeCell ref="T994:U994"/>
    <mergeCell ref="T995:U995"/>
    <mergeCell ref="T996:U996"/>
    <mergeCell ref="T987:U987"/>
    <mergeCell ref="T988:U988"/>
    <mergeCell ref="T989:U989"/>
    <mergeCell ref="T990:U990"/>
    <mergeCell ref="T991:U991"/>
    <mergeCell ref="T982:U982"/>
    <mergeCell ref="T983:U983"/>
    <mergeCell ref="T984:U984"/>
    <mergeCell ref="T985:U985"/>
    <mergeCell ref="T986:U986"/>
    <mergeCell ref="T977:U977"/>
    <mergeCell ref="T978:U978"/>
    <mergeCell ref="T979:U979"/>
    <mergeCell ref="T980:U980"/>
    <mergeCell ref="T981:U981"/>
    <mergeCell ref="T972:U972"/>
    <mergeCell ref="T973:U973"/>
    <mergeCell ref="T974:U974"/>
    <mergeCell ref="T975:U975"/>
    <mergeCell ref="T976:U976"/>
    <mergeCell ref="T967:U967"/>
    <mergeCell ref="T968:U968"/>
    <mergeCell ref="T969:U969"/>
    <mergeCell ref="T970:U970"/>
    <mergeCell ref="T971:U971"/>
    <mergeCell ref="T962:U962"/>
    <mergeCell ref="T963:U963"/>
    <mergeCell ref="T964:U964"/>
    <mergeCell ref="T965:U965"/>
    <mergeCell ref="T966:U966"/>
    <mergeCell ref="T957:U957"/>
    <mergeCell ref="T958:U958"/>
    <mergeCell ref="T959:U959"/>
    <mergeCell ref="T960:U960"/>
    <mergeCell ref="T961:U961"/>
    <mergeCell ref="T952:U952"/>
    <mergeCell ref="T953:U953"/>
    <mergeCell ref="T954:U954"/>
    <mergeCell ref="T955:U955"/>
    <mergeCell ref="T956:U956"/>
    <mergeCell ref="T947:U947"/>
    <mergeCell ref="T948:U948"/>
    <mergeCell ref="T949:U949"/>
    <mergeCell ref="T950:U950"/>
    <mergeCell ref="T951:U951"/>
    <mergeCell ref="T942:U942"/>
    <mergeCell ref="T943:U943"/>
    <mergeCell ref="T944:U944"/>
    <mergeCell ref="T945:U945"/>
    <mergeCell ref="T946:U946"/>
    <mergeCell ref="T937:U937"/>
    <mergeCell ref="T938:U938"/>
    <mergeCell ref="T939:U939"/>
    <mergeCell ref="T940:U940"/>
    <mergeCell ref="T941:U941"/>
    <mergeCell ref="T932:U932"/>
    <mergeCell ref="T933:U933"/>
    <mergeCell ref="T934:U934"/>
    <mergeCell ref="T935:U935"/>
    <mergeCell ref="T936:U936"/>
    <mergeCell ref="T927:U927"/>
    <mergeCell ref="T928:U928"/>
    <mergeCell ref="T929:U929"/>
    <mergeCell ref="T930:U930"/>
    <mergeCell ref="T931:U931"/>
    <mergeCell ref="T922:U922"/>
    <mergeCell ref="T923:U923"/>
    <mergeCell ref="T924:U924"/>
    <mergeCell ref="T925:U925"/>
    <mergeCell ref="T926:U926"/>
    <mergeCell ref="T917:U917"/>
    <mergeCell ref="T918:U918"/>
    <mergeCell ref="T919:U919"/>
    <mergeCell ref="T920:U920"/>
    <mergeCell ref="T921:U921"/>
    <mergeCell ref="T912:U912"/>
    <mergeCell ref="T913:U913"/>
    <mergeCell ref="T914:U914"/>
    <mergeCell ref="T915:U915"/>
    <mergeCell ref="T916:U916"/>
    <mergeCell ref="T907:U907"/>
    <mergeCell ref="T908:U908"/>
    <mergeCell ref="T909:U909"/>
    <mergeCell ref="T910:U910"/>
    <mergeCell ref="T911:U911"/>
    <mergeCell ref="T902:U902"/>
    <mergeCell ref="T903:U903"/>
    <mergeCell ref="T904:U904"/>
    <mergeCell ref="T905:U905"/>
    <mergeCell ref="T906:U906"/>
    <mergeCell ref="T897:U897"/>
    <mergeCell ref="T898:U898"/>
    <mergeCell ref="T899:U899"/>
    <mergeCell ref="T900:U900"/>
    <mergeCell ref="T901:U901"/>
    <mergeCell ref="T892:U892"/>
    <mergeCell ref="T893:U893"/>
    <mergeCell ref="T894:U894"/>
    <mergeCell ref="T895:U895"/>
    <mergeCell ref="T896:U896"/>
    <mergeCell ref="T887:U887"/>
    <mergeCell ref="T888:U888"/>
    <mergeCell ref="T889:U889"/>
    <mergeCell ref="T890:U890"/>
    <mergeCell ref="T891:U891"/>
    <mergeCell ref="T882:U882"/>
    <mergeCell ref="T883:U883"/>
    <mergeCell ref="T884:U884"/>
    <mergeCell ref="T885:U885"/>
    <mergeCell ref="T886:U886"/>
    <mergeCell ref="T877:U877"/>
    <mergeCell ref="T878:U878"/>
    <mergeCell ref="T879:U879"/>
    <mergeCell ref="T880:U880"/>
    <mergeCell ref="T881:U881"/>
    <mergeCell ref="T872:U872"/>
    <mergeCell ref="T873:U873"/>
    <mergeCell ref="T874:U874"/>
    <mergeCell ref="T875:U875"/>
    <mergeCell ref="T876:U876"/>
    <mergeCell ref="T867:U867"/>
    <mergeCell ref="T868:U868"/>
    <mergeCell ref="T869:U869"/>
    <mergeCell ref="T870:U870"/>
    <mergeCell ref="T871:U871"/>
    <mergeCell ref="T862:U862"/>
    <mergeCell ref="T863:U863"/>
    <mergeCell ref="T864:U864"/>
    <mergeCell ref="T865:U865"/>
    <mergeCell ref="T866:U866"/>
    <mergeCell ref="T857:U857"/>
    <mergeCell ref="T858:U858"/>
    <mergeCell ref="T859:U859"/>
    <mergeCell ref="T860:U860"/>
    <mergeCell ref="T861:U861"/>
    <mergeCell ref="T852:U852"/>
    <mergeCell ref="T853:U853"/>
    <mergeCell ref="T854:U854"/>
    <mergeCell ref="T855:U855"/>
    <mergeCell ref="T856:U856"/>
    <mergeCell ref="T847:U847"/>
    <mergeCell ref="T848:U848"/>
    <mergeCell ref="T849:U849"/>
    <mergeCell ref="T850:U850"/>
    <mergeCell ref="T851:U851"/>
    <mergeCell ref="T842:U842"/>
    <mergeCell ref="T843:U843"/>
    <mergeCell ref="T844:U844"/>
    <mergeCell ref="T845:U845"/>
    <mergeCell ref="T846:U846"/>
    <mergeCell ref="T837:U837"/>
    <mergeCell ref="T838:U838"/>
    <mergeCell ref="T839:U839"/>
    <mergeCell ref="T840:U840"/>
    <mergeCell ref="T841:U841"/>
    <mergeCell ref="T832:U832"/>
    <mergeCell ref="T833:U833"/>
    <mergeCell ref="T834:U834"/>
    <mergeCell ref="T835:U835"/>
    <mergeCell ref="T836:U836"/>
    <mergeCell ref="T827:U827"/>
    <mergeCell ref="T828:U828"/>
    <mergeCell ref="T829:U829"/>
    <mergeCell ref="T830:U830"/>
    <mergeCell ref="T831:U831"/>
    <mergeCell ref="T822:U822"/>
    <mergeCell ref="T823:U823"/>
    <mergeCell ref="T824:U824"/>
    <mergeCell ref="T825:U825"/>
    <mergeCell ref="T826:U826"/>
    <mergeCell ref="T817:U817"/>
    <mergeCell ref="T818:U818"/>
    <mergeCell ref="T819:U819"/>
    <mergeCell ref="T820:U820"/>
    <mergeCell ref="T821:U821"/>
    <mergeCell ref="T812:U812"/>
    <mergeCell ref="T813:U813"/>
    <mergeCell ref="T814:U814"/>
    <mergeCell ref="T815:U815"/>
    <mergeCell ref="T816:U816"/>
    <mergeCell ref="T807:U807"/>
    <mergeCell ref="T808:U808"/>
    <mergeCell ref="T809:U809"/>
    <mergeCell ref="T810:U810"/>
    <mergeCell ref="T811:U811"/>
    <mergeCell ref="T802:U802"/>
    <mergeCell ref="T803:U803"/>
    <mergeCell ref="T804:U804"/>
    <mergeCell ref="T805:U805"/>
    <mergeCell ref="T806:U806"/>
    <mergeCell ref="T797:U797"/>
    <mergeCell ref="T798:U798"/>
    <mergeCell ref="T799:U799"/>
    <mergeCell ref="T800:U800"/>
    <mergeCell ref="T801:U801"/>
    <mergeCell ref="T792:U792"/>
    <mergeCell ref="T793:U793"/>
    <mergeCell ref="T794:U794"/>
    <mergeCell ref="T795:U795"/>
    <mergeCell ref="T796:U796"/>
    <mergeCell ref="T787:U787"/>
    <mergeCell ref="T788:U788"/>
    <mergeCell ref="T789:U789"/>
    <mergeCell ref="T790:U790"/>
    <mergeCell ref="T791:U791"/>
    <mergeCell ref="T782:U782"/>
    <mergeCell ref="T783:U783"/>
    <mergeCell ref="T784:U784"/>
    <mergeCell ref="T785:U785"/>
    <mergeCell ref="T786:U786"/>
    <mergeCell ref="T777:U777"/>
    <mergeCell ref="T778:U778"/>
    <mergeCell ref="T779:U779"/>
    <mergeCell ref="T780:U780"/>
    <mergeCell ref="T781:U781"/>
    <mergeCell ref="T772:U772"/>
    <mergeCell ref="T773:U773"/>
    <mergeCell ref="T774:U774"/>
    <mergeCell ref="T775:U775"/>
    <mergeCell ref="T776:U776"/>
    <mergeCell ref="T767:U767"/>
    <mergeCell ref="T768:U768"/>
    <mergeCell ref="T769:U769"/>
    <mergeCell ref="T770:U770"/>
    <mergeCell ref="T771:U771"/>
    <mergeCell ref="T762:U762"/>
    <mergeCell ref="T763:U763"/>
    <mergeCell ref="T764:U764"/>
    <mergeCell ref="T765:U765"/>
    <mergeCell ref="T766:U766"/>
    <mergeCell ref="T757:U757"/>
    <mergeCell ref="T758:U758"/>
    <mergeCell ref="T759:U759"/>
    <mergeCell ref="T760:U760"/>
    <mergeCell ref="T761:U761"/>
    <mergeCell ref="T752:U752"/>
    <mergeCell ref="T753:U753"/>
    <mergeCell ref="T754:U754"/>
    <mergeCell ref="T755:U755"/>
    <mergeCell ref="T756:U756"/>
    <mergeCell ref="T747:U747"/>
    <mergeCell ref="T748:U748"/>
    <mergeCell ref="T749:U749"/>
    <mergeCell ref="T750:U750"/>
    <mergeCell ref="T751:U751"/>
    <mergeCell ref="T742:U742"/>
    <mergeCell ref="T743:U743"/>
    <mergeCell ref="T744:U744"/>
    <mergeCell ref="T745:U745"/>
    <mergeCell ref="T746:U746"/>
    <mergeCell ref="T737:U737"/>
    <mergeCell ref="T738:U738"/>
    <mergeCell ref="T739:U739"/>
    <mergeCell ref="T740:U740"/>
    <mergeCell ref="T741:U741"/>
    <mergeCell ref="T732:U732"/>
    <mergeCell ref="T733:U733"/>
    <mergeCell ref="T734:U734"/>
    <mergeCell ref="T735:U735"/>
    <mergeCell ref="T736:U736"/>
    <mergeCell ref="T727:U727"/>
    <mergeCell ref="T728:U728"/>
    <mergeCell ref="T729:U729"/>
    <mergeCell ref="T730:U730"/>
    <mergeCell ref="T731:U731"/>
    <mergeCell ref="T722:U722"/>
    <mergeCell ref="T723:U723"/>
    <mergeCell ref="T724:U724"/>
    <mergeCell ref="T725:U725"/>
    <mergeCell ref="T726:U726"/>
    <mergeCell ref="T717:U717"/>
    <mergeCell ref="T718:U718"/>
    <mergeCell ref="T719:U719"/>
    <mergeCell ref="T720:U720"/>
    <mergeCell ref="T721:U721"/>
    <mergeCell ref="T712:U712"/>
    <mergeCell ref="T713:U713"/>
    <mergeCell ref="T714:U714"/>
    <mergeCell ref="T715:U715"/>
    <mergeCell ref="T716:U716"/>
    <mergeCell ref="T707:U707"/>
    <mergeCell ref="T708:U708"/>
    <mergeCell ref="T709:U709"/>
    <mergeCell ref="T710:U710"/>
    <mergeCell ref="T711:U711"/>
    <mergeCell ref="T702:U702"/>
    <mergeCell ref="T703:U703"/>
    <mergeCell ref="T704:U704"/>
    <mergeCell ref="T705:U705"/>
    <mergeCell ref="T706:U706"/>
    <mergeCell ref="T697:U697"/>
    <mergeCell ref="T698:U698"/>
    <mergeCell ref="T699:U699"/>
    <mergeCell ref="T700:U700"/>
    <mergeCell ref="T701:U701"/>
    <mergeCell ref="T692:U692"/>
    <mergeCell ref="T693:U693"/>
    <mergeCell ref="T694:U694"/>
    <mergeCell ref="T695:U695"/>
    <mergeCell ref="T696:U696"/>
    <mergeCell ref="T687:U687"/>
    <mergeCell ref="T688:U688"/>
    <mergeCell ref="T689:U689"/>
    <mergeCell ref="T690:U690"/>
    <mergeCell ref="T691:U691"/>
    <mergeCell ref="T682:U682"/>
    <mergeCell ref="T683:U683"/>
    <mergeCell ref="T684:U684"/>
    <mergeCell ref="T685:U685"/>
    <mergeCell ref="T686:U686"/>
    <mergeCell ref="T677:U677"/>
    <mergeCell ref="T678:U678"/>
    <mergeCell ref="T679:U679"/>
    <mergeCell ref="T680:U680"/>
    <mergeCell ref="T681:U681"/>
    <mergeCell ref="T672:U672"/>
    <mergeCell ref="T673:U673"/>
    <mergeCell ref="T674:U674"/>
    <mergeCell ref="T675:U675"/>
    <mergeCell ref="T676:U676"/>
    <mergeCell ref="T667:U667"/>
    <mergeCell ref="T668:U668"/>
    <mergeCell ref="T669:U669"/>
    <mergeCell ref="T670:U670"/>
    <mergeCell ref="T671:U671"/>
    <mergeCell ref="T662:U662"/>
    <mergeCell ref="T663:U663"/>
    <mergeCell ref="T664:U664"/>
    <mergeCell ref="T665:U665"/>
    <mergeCell ref="T666:U666"/>
    <mergeCell ref="T657:U657"/>
    <mergeCell ref="T658:U658"/>
    <mergeCell ref="T659:U659"/>
    <mergeCell ref="T660:U660"/>
    <mergeCell ref="T661:U661"/>
    <mergeCell ref="T652:U652"/>
    <mergeCell ref="T653:U653"/>
    <mergeCell ref="T654:U654"/>
    <mergeCell ref="T655:U655"/>
    <mergeCell ref="T656:U656"/>
    <mergeCell ref="T647:U647"/>
    <mergeCell ref="T648:U648"/>
    <mergeCell ref="T649:U649"/>
    <mergeCell ref="T650:U650"/>
    <mergeCell ref="T651:U651"/>
    <mergeCell ref="T642:U642"/>
    <mergeCell ref="T643:U643"/>
    <mergeCell ref="T644:U644"/>
    <mergeCell ref="T645:U645"/>
    <mergeCell ref="T646:U646"/>
    <mergeCell ref="T637:U637"/>
    <mergeCell ref="T638:U638"/>
    <mergeCell ref="T639:U639"/>
    <mergeCell ref="T640:U640"/>
    <mergeCell ref="T641:U641"/>
    <mergeCell ref="T632:U632"/>
    <mergeCell ref="T633:U633"/>
    <mergeCell ref="T634:U634"/>
    <mergeCell ref="T635:U635"/>
    <mergeCell ref="T636:U636"/>
    <mergeCell ref="T627:U627"/>
    <mergeCell ref="T628:U628"/>
    <mergeCell ref="T629:U629"/>
    <mergeCell ref="T630:U630"/>
    <mergeCell ref="T631:U631"/>
    <mergeCell ref="T622:U622"/>
    <mergeCell ref="T623:U623"/>
    <mergeCell ref="T624:U624"/>
    <mergeCell ref="T625:U625"/>
    <mergeCell ref="T626:U626"/>
    <mergeCell ref="T617:U617"/>
    <mergeCell ref="T618:U618"/>
    <mergeCell ref="T619:U619"/>
    <mergeCell ref="T620:U620"/>
    <mergeCell ref="T621:U621"/>
    <mergeCell ref="T612:U612"/>
    <mergeCell ref="T613:U613"/>
    <mergeCell ref="T614:U614"/>
    <mergeCell ref="T615:U615"/>
    <mergeCell ref="T616:U616"/>
    <mergeCell ref="T607:U607"/>
    <mergeCell ref="T608:U608"/>
    <mergeCell ref="T609:U609"/>
    <mergeCell ref="T610:U610"/>
    <mergeCell ref="T611:U611"/>
    <mergeCell ref="T602:U602"/>
    <mergeCell ref="T603:U603"/>
    <mergeCell ref="T604:U604"/>
    <mergeCell ref="T605:U605"/>
    <mergeCell ref="T606:U606"/>
    <mergeCell ref="T597:U597"/>
    <mergeCell ref="T598:U598"/>
    <mergeCell ref="T599:U599"/>
    <mergeCell ref="T600:U600"/>
    <mergeCell ref="T601:U601"/>
    <mergeCell ref="T592:U592"/>
    <mergeCell ref="T593:U593"/>
    <mergeCell ref="T594:U594"/>
    <mergeCell ref="T595:U595"/>
    <mergeCell ref="T596:U596"/>
    <mergeCell ref="T587:U587"/>
    <mergeCell ref="T588:U588"/>
    <mergeCell ref="T589:U589"/>
    <mergeCell ref="T590:U590"/>
    <mergeCell ref="T591:U591"/>
    <mergeCell ref="T582:U582"/>
    <mergeCell ref="T583:U583"/>
    <mergeCell ref="T584:U584"/>
    <mergeCell ref="T585:U585"/>
    <mergeCell ref="T586:U586"/>
    <mergeCell ref="T577:U577"/>
    <mergeCell ref="T578:U578"/>
    <mergeCell ref="T579:U579"/>
    <mergeCell ref="T580:U580"/>
    <mergeCell ref="T581:U581"/>
    <mergeCell ref="T572:U572"/>
    <mergeCell ref="T573:U573"/>
    <mergeCell ref="T574:U574"/>
    <mergeCell ref="T575:U575"/>
    <mergeCell ref="T576:U576"/>
    <mergeCell ref="T567:U567"/>
    <mergeCell ref="T568:U568"/>
    <mergeCell ref="T569:U569"/>
    <mergeCell ref="T570:U570"/>
    <mergeCell ref="T571:U571"/>
    <mergeCell ref="T562:U562"/>
    <mergeCell ref="T563:U563"/>
    <mergeCell ref="T564:U564"/>
    <mergeCell ref="T565:U565"/>
    <mergeCell ref="T566:U566"/>
    <mergeCell ref="T557:U557"/>
    <mergeCell ref="T558:U558"/>
    <mergeCell ref="T559:U559"/>
    <mergeCell ref="T560:U560"/>
    <mergeCell ref="T561:U561"/>
    <mergeCell ref="T552:U552"/>
    <mergeCell ref="T553:U553"/>
    <mergeCell ref="T554:U554"/>
    <mergeCell ref="T555:U555"/>
    <mergeCell ref="T556:U556"/>
    <mergeCell ref="T547:U547"/>
    <mergeCell ref="T548:U548"/>
    <mergeCell ref="T549:U549"/>
    <mergeCell ref="T550:U550"/>
    <mergeCell ref="T551:U551"/>
    <mergeCell ref="T542:U542"/>
    <mergeCell ref="T543:U543"/>
    <mergeCell ref="T544:U544"/>
    <mergeCell ref="T545:U545"/>
    <mergeCell ref="T546:U546"/>
    <mergeCell ref="T537:U537"/>
    <mergeCell ref="T538:U538"/>
    <mergeCell ref="T539:U539"/>
    <mergeCell ref="T540:U540"/>
    <mergeCell ref="T541:U541"/>
    <mergeCell ref="T532:U532"/>
    <mergeCell ref="T533:U533"/>
    <mergeCell ref="T534:U534"/>
    <mergeCell ref="T535:U535"/>
    <mergeCell ref="T536:U536"/>
    <mergeCell ref="T527:U527"/>
    <mergeCell ref="T528:U528"/>
    <mergeCell ref="T529:U529"/>
    <mergeCell ref="T530:U530"/>
    <mergeCell ref="T531:U531"/>
    <mergeCell ref="T522:U522"/>
    <mergeCell ref="T523:U523"/>
    <mergeCell ref="T524:U524"/>
    <mergeCell ref="T525:U525"/>
    <mergeCell ref="T526:U526"/>
    <mergeCell ref="T517:U517"/>
    <mergeCell ref="T518:U518"/>
    <mergeCell ref="T519:U519"/>
    <mergeCell ref="T520:U520"/>
    <mergeCell ref="T521:U521"/>
    <mergeCell ref="T512:U512"/>
    <mergeCell ref="T513:U513"/>
    <mergeCell ref="T514:U514"/>
    <mergeCell ref="T515:U515"/>
    <mergeCell ref="T516:U516"/>
    <mergeCell ref="T507:U507"/>
    <mergeCell ref="T508:U508"/>
    <mergeCell ref="T509:U509"/>
    <mergeCell ref="T510:U510"/>
    <mergeCell ref="T511:U511"/>
    <mergeCell ref="T502:U502"/>
    <mergeCell ref="T503:U503"/>
    <mergeCell ref="T504:U504"/>
    <mergeCell ref="T505:U505"/>
    <mergeCell ref="T506:U506"/>
    <mergeCell ref="T497:U497"/>
    <mergeCell ref="T498:U498"/>
    <mergeCell ref="T499:U499"/>
    <mergeCell ref="T500:U500"/>
    <mergeCell ref="T501:U501"/>
    <mergeCell ref="T492:U492"/>
    <mergeCell ref="T493:U493"/>
    <mergeCell ref="T494:U494"/>
    <mergeCell ref="T495:U495"/>
    <mergeCell ref="T496:U496"/>
    <mergeCell ref="T487:U487"/>
    <mergeCell ref="T488:U488"/>
    <mergeCell ref="T489:U489"/>
    <mergeCell ref="T490:U490"/>
    <mergeCell ref="T491:U491"/>
    <mergeCell ref="T482:U482"/>
    <mergeCell ref="T483:U483"/>
    <mergeCell ref="T484:U484"/>
    <mergeCell ref="T485:U485"/>
    <mergeCell ref="T486:U486"/>
    <mergeCell ref="T477:U477"/>
    <mergeCell ref="T478:U478"/>
    <mergeCell ref="T479:U479"/>
    <mergeCell ref="T480:U480"/>
    <mergeCell ref="T481:U481"/>
    <mergeCell ref="T472:U472"/>
    <mergeCell ref="T473:U473"/>
    <mergeCell ref="T474:U474"/>
    <mergeCell ref="T475:U475"/>
    <mergeCell ref="T476:U476"/>
    <mergeCell ref="T467:U467"/>
    <mergeCell ref="T468:U468"/>
    <mergeCell ref="T469:U469"/>
    <mergeCell ref="T470:U470"/>
    <mergeCell ref="T471:U471"/>
    <mergeCell ref="T462:U462"/>
    <mergeCell ref="T463:U463"/>
    <mergeCell ref="T464:U464"/>
    <mergeCell ref="T465:U465"/>
    <mergeCell ref="T466:U466"/>
    <mergeCell ref="T457:U457"/>
    <mergeCell ref="T458:U458"/>
    <mergeCell ref="T459:U459"/>
    <mergeCell ref="T460:U460"/>
    <mergeCell ref="T461:U461"/>
    <mergeCell ref="T452:U452"/>
    <mergeCell ref="T453:U453"/>
    <mergeCell ref="T454:U454"/>
    <mergeCell ref="T455:U455"/>
    <mergeCell ref="T456:U456"/>
    <mergeCell ref="T447:U447"/>
    <mergeCell ref="T448:U448"/>
    <mergeCell ref="T449:U449"/>
    <mergeCell ref="T450:U450"/>
    <mergeCell ref="T451:U451"/>
    <mergeCell ref="T442:U442"/>
    <mergeCell ref="T443:U443"/>
    <mergeCell ref="T444:U444"/>
    <mergeCell ref="T445:U445"/>
    <mergeCell ref="T446:U446"/>
    <mergeCell ref="T437:U437"/>
    <mergeCell ref="T438:U438"/>
    <mergeCell ref="T439:U439"/>
    <mergeCell ref="T440:U440"/>
    <mergeCell ref="T441:U441"/>
    <mergeCell ref="T432:U432"/>
    <mergeCell ref="T433:U433"/>
    <mergeCell ref="T434:U434"/>
    <mergeCell ref="T435:U435"/>
    <mergeCell ref="T436:U436"/>
    <mergeCell ref="T427:U427"/>
    <mergeCell ref="T428:U428"/>
    <mergeCell ref="T429:U429"/>
    <mergeCell ref="T430:U430"/>
    <mergeCell ref="T431:U431"/>
    <mergeCell ref="T422:U422"/>
    <mergeCell ref="T423:U423"/>
    <mergeCell ref="T424:U424"/>
    <mergeCell ref="T425:U425"/>
    <mergeCell ref="T426:U426"/>
    <mergeCell ref="T417:U417"/>
    <mergeCell ref="T418:U418"/>
    <mergeCell ref="T419:U419"/>
    <mergeCell ref="T420:U420"/>
    <mergeCell ref="T421:U421"/>
    <mergeCell ref="T412:U412"/>
    <mergeCell ref="T413:U413"/>
    <mergeCell ref="T414:U414"/>
    <mergeCell ref="T415:U415"/>
    <mergeCell ref="T416:U416"/>
    <mergeCell ref="T407:U407"/>
    <mergeCell ref="T408:U408"/>
    <mergeCell ref="T409:U409"/>
    <mergeCell ref="T410:U410"/>
    <mergeCell ref="T411:U411"/>
    <mergeCell ref="T402:U402"/>
    <mergeCell ref="T403:U403"/>
    <mergeCell ref="T404:U404"/>
    <mergeCell ref="T405:U405"/>
    <mergeCell ref="T406:U406"/>
    <mergeCell ref="T397:U397"/>
    <mergeCell ref="T398:U398"/>
    <mergeCell ref="T399:U399"/>
    <mergeCell ref="T400:U400"/>
    <mergeCell ref="T401:U401"/>
    <mergeCell ref="T392:U392"/>
    <mergeCell ref="T393:U393"/>
    <mergeCell ref="T394:U394"/>
    <mergeCell ref="T395:U395"/>
    <mergeCell ref="T396:U396"/>
    <mergeCell ref="T387:U387"/>
    <mergeCell ref="T388:U388"/>
    <mergeCell ref="T389:U389"/>
    <mergeCell ref="T390:U390"/>
    <mergeCell ref="T391:U391"/>
    <mergeCell ref="T382:U382"/>
    <mergeCell ref="T383:U383"/>
    <mergeCell ref="T384:U384"/>
    <mergeCell ref="T385:U385"/>
    <mergeCell ref="T386:U386"/>
    <mergeCell ref="T377:U377"/>
    <mergeCell ref="T378:U378"/>
    <mergeCell ref="T379:U379"/>
    <mergeCell ref="T380:U380"/>
    <mergeCell ref="T381:U381"/>
    <mergeCell ref="T372:U372"/>
    <mergeCell ref="T373:U373"/>
    <mergeCell ref="T374:U374"/>
    <mergeCell ref="T375:U375"/>
    <mergeCell ref="T376:U376"/>
    <mergeCell ref="T367:U367"/>
    <mergeCell ref="T368:U368"/>
    <mergeCell ref="T369:U369"/>
    <mergeCell ref="T370:U370"/>
    <mergeCell ref="T371:U371"/>
    <mergeCell ref="T362:U362"/>
    <mergeCell ref="T363:U363"/>
    <mergeCell ref="T364:U364"/>
    <mergeCell ref="T365:U365"/>
    <mergeCell ref="T366:U366"/>
    <mergeCell ref="T357:U357"/>
    <mergeCell ref="T358:U358"/>
    <mergeCell ref="T359:U359"/>
    <mergeCell ref="T360:U360"/>
    <mergeCell ref="T361:U361"/>
    <mergeCell ref="T352:U352"/>
    <mergeCell ref="T353:U353"/>
    <mergeCell ref="T354:U354"/>
    <mergeCell ref="T355:U355"/>
    <mergeCell ref="T356:U356"/>
    <mergeCell ref="T347:U347"/>
    <mergeCell ref="T348:U348"/>
    <mergeCell ref="T349:U349"/>
    <mergeCell ref="T350:U350"/>
    <mergeCell ref="T351:U351"/>
    <mergeCell ref="T342:U342"/>
    <mergeCell ref="T343:U343"/>
    <mergeCell ref="T344:U344"/>
    <mergeCell ref="T345:U345"/>
    <mergeCell ref="T346:U346"/>
    <mergeCell ref="T337:U337"/>
    <mergeCell ref="T338:U338"/>
    <mergeCell ref="T339:U339"/>
    <mergeCell ref="T340:U340"/>
    <mergeCell ref="T341:U341"/>
    <mergeCell ref="T332:U332"/>
    <mergeCell ref="T333:U333"/>
    <mergeCell ref="T334:U334"/>
    <mergeCell ref="T335:U335"/>
    <mergeCell ref="T336:U336"/>
    <mergeCell ref="T327:U327"/>
    <mergeCell ref="T328:U328"/>
    <mergeCell ref="T329:U329"/>
    <mergeCell ref="T330:U330"/>
    <mergeCell ref="T331:U331"/>
    <mergeCell ref="T322:U322"/>
    <mergeCell ref="T323:U323"/>
    <mergeCell ref="T324:U324"/>
    <mergeCell ref="T325:U325"/>
    <mergeCell ref="T326:U326"/>
    <mergeCell ref="T317:U317"/>
    <mergeCell ref="T318:U318"/>
    <mergeCell ref="T319:U319"/>
    <mergeCell ref="T320:U320"/>
    <mergeCell ref="T321:U321"/>
    <mergeCell ref="T312:U312"/>
    <mergeCell ref="T313:U313"/>
    <mergeCell ref="T314:U314"/>
    <mergeCell ref="T315:U315"/>
    <mergeCell ref="T316:U316"/>
    <mergeCell ref="T307:U307"/>
    <mergeCell ref="T308:U308"/>
    <mergeCell ref="T309:U309"/>
    <mergeCell ref="T310:U310"/>
    <mergeCell ref="T311:U311"/>
    <mergeCell ref="T302:U302"/>
    <mergeCell ref="T303:U303"/>
    <mergeCell ref="T304:U304"/>
    <mergeCell ref="T305:U305"/>
    <mergeCell ref="T306:U306"/>
    <mergeCell ref="T297:U297"/>
    <mergeCell ref="T298:U298"/>
    <mergeCell ref="T299:U299"/>
    <mergeCell ref="T300:U300"/>
    <mergeCell ref="T301:U301"/>
    <mergeCell ref="T292:U292"/>
    <mergeCell ref="T293:U293"/>
    <mergeCell ref="T294:U294"/>
    <mergeCell ref="T295:U295"/>
    <mergeCell ref="T296:U296"/>
    <mergeCell ref="T287:U287"/>
    <mergeCell ref="T288:U288"/>
    <mergeCell ref="T289:U289"/>
    <mergeCell ref="T290:U290"/>
    <mergeCell ref="T291:U291"/>
    <mergeCell ref="T282:U282"/>
    <mergeCell ref="T283:U283"/>
    <mergeCell ref="T284:U284"/>
    <mergeCell ref="T285:U285"/>
    <mergeCell ref="T286:U286"/>
    <mergeCell ref="T277:U277"/>
    <mergeCell ref="T278:U278"/>
    <mergeCell ref="T279:U279"/>
    <mergeCell ref="T280:U280"/>
    <mergeCell ref="T281:U281"/>
    <mergeCell ref="T272:U272"/>
    <mergeCell ref="T273:U273"/>
    <mergeCell ref="T274:U274"/>
    <mergeCell ref="T275:U275"/>
    <mergeCell ref="T276:U276"/>
    <mergeCell ref="T267:U267"/>
    <mergeCell ref="T268:U268"/>
    <mergeCell ref="T269:U269"/>
    <mergeCell ref="T270:U270"/>
    <mergeCell ref="T271:U271"/>
    <mergeCell ref="T262:U262"/>
    <mergeCell ref="T263:U263"/>
    <mergeCell ref="T264:U264"/>
    <mergeCell ref="T265:U265"/>
    <mergeCell ref="T266:U266"/>
    <mergeCell ref="T257:U257"/>
    <mergeCell ref="T258:U258"/>
    <mergeCell ref="T259:U259"/>
    <mergeCell ref="T260:U260"/>
    <mergeCell ref="T261:U261"/>
    <mergeCell ref="T252:U252"/>
    <mergeCell ref="T253:U253"/>
    <mergeCell ref="T254:U254"/>
    <mergeCell ref="T255:U255"/>
    <mergeCell ref="T256:U256"/>
    <mergeCell ref="T247:U247"/>
    <mergeCell ref="T248:U248"/>
    <mergeCell ref="T249:U249"/>
    <mergeCell ref="T250:U250"/>
    <mergeCell ref="T251:U251"/>
    <mergeCell ref="T242:U242"/>
    <mergeCell ref="T243:U243"/>
    <mergeCell ref="T244:U244"/>
    <mergeCell ref="T245:U245"/>
    <mergeCell ref="T246:U246"/>
    <mergeCell ref="T237:U237"/>
    <mergeCell ref="T238:U238"/>
    <mergeCell ref="T239:U239"/>
    <mergeCell ref="T240:U240"/>
    <mergeCell ref="T241:U241"/>
    <mergeCell ref="T232:U232"/>
    <mergeCell ref="T233:U233"/>
    <mergeCell ref="T234:U234"/>
    <mergeCell ref="T235:U235"/>
    <mergeCell ref="T236:U236"/>
    <mergeCell ref="T227:U227"/>
    <mergeCell ref="T228:U228"/>
    <mergeCell ref="T229:U229"/>
    <mergeCell ref="T230:U230"/>
    <mergeCell ref="T231:U231"/>
    <mergeCell ref="T222:U222"/>
    <mergeCell ref="T223:U223"/>
    <mergeCell ref="T224:U224"/>
    <mergeCell ref="T225:U225"/>
    <mergeCell ref="T226:U226"/>
    <mergeCell ref="T217:U217"/>
    <mergeCell ref="T218:U218"/>
    <mergeCell ref="T219:U219"/>
    <mergeCell ref="T220:U220"/>
    <mergeCell ref="T221:U221"/>
    <mergeCell ref="T212:U212"/>
    <mergeCell ref="T213:U213"/>
    <mergeCell ref="T214:U214"/>
    <mergeCell ref="T215:U215"/>
    <mergeCell ref="T216:U216"/>
    <mergeCell ref="T207:U207"/>
    <mergeCell ref="T208:U208"/>
    <mergeCell ref="T209:U209"/>
    <mergeCell ref="T210:U210"/>
    <mergeCell ref="T211:U211"/>
    <mergeCell ref="T202:U202"/>
    <mergeCell ref="T203:U203"/>
    <mergeCell ref="T204:U204"/>
    <mergeCell ref="T205:U205"/>
    <mergeCell ref="T206:U206"/>
    <mergeCell ref="T197:U197"/>
    <mergeCell ref="T198:U198"/>
    <mergeCell ref="T199:U199"/>
    <mergeCell ref="T200:U200"/>
    <mergeCell ref="T201:U201"/>
    <mergeCell ref="T192:U192"/>
    <mergeCell ref="T193:U193"/>
    <mergeCell ref="T194:U194"/>
    <mergeCell ref="T195:U195"/>
    <mergeCell ref="T196:U196"/>
    <mergeCell ref="T187:U187"/>
    <mergeCell ref="T188:U188"/>
    <mergeCell ref="T189:U189"/>
    <mergeCell ref="T190:U190"/>
    <mergeCell ref="T191:U191"/>
    <mergeCell ref="T182:U182"/>
    <mergeCell ref="T183:U183"/>
    <mergeCell ref="T184:U184"/>
    <mergeCell ref="T185:U185"/>
    <mergeCell ref="T186:U186"/>
    <mergeCell ref="T177:U177"/>
    <mergeCell ref="T178:U178"/>
    <mergeCell ref="T179:U179"/>
    <mergeCell ref="T180:U180"/>
    <mergeCell ref="T181:U181"/>
    <mergeCell ref="T172:U172"/>
    <mergeCell ref="T173:U173"/>
    <mergeCell ref="T174:U174"/>
    <mergeCell ref="T175:U175"/>
    <mergeCell ref="T176:U176"/>
    <mergeCell ref="T167:U167"/>
    <mergeCell ref="T168:U168"/>
    <mergeCell ref="T169:U169"/>
    <mergeCell ref="T170:U170"/>
    <mergeCell ref="T171:U171"/>
    <mergeCell ref="T162:U162"/>
    <mergeCell ref="T163:U163"/>
    <mergeCell ref="T164:U164"/>
    <mergeCell ref="T165:U165"/>
    <mergeCell ref="T166:U166"/>
    <mergeCell ref="T157:U157"/>
    <mergeCell ref="T158:U158"/>
    <mergeCell ref="T159:U159"/>
    <mergeCell ref="T160:U160"/>
    <mergeCell ref="T161:U161"/>
    <mergeCell ref="T152:U152"/>
    <mergeCell ref="T153:U153"/>
    <mergeCell ref="T154:U154"/>
    <mergeCell ref="T155:U155"/>
    <mergeCell ref="T156:U156"/>
    <mergeCell ref="T147:U147"/>
    <mergeCell ref="T148:U148"/>
    <mergeCell ref="T149:U149"/>
    <mergeCell ref="T150:U150"/>
    <mergeCell ref="T151:U151"/>
    <mergeCell ref="T142:U142"/>
    <mergeCell ref="T143:U143"/>
    <mergeCell ref="T144:U144"/>
    <mergeCell ref="T145:U145"/>
    <mergeCell ref="T146:U146"/>
    <mergeCell ref="T137:U137"/>
    <mergeCell ref="T138:U138"/>
    <mergeCell ref="T139:U139"/>
    <mergeCell ref="T140:U140"/>
    <mergeCell ref="T141:U141"/>
    <mergeCell ref="T132:U132"/>
    <mergeCell ref="T133:U133"/>
    <mergeCell ref="T134:U134"/>
    <mergeCell ref="T135:U135"/>
    <mergeCell ref="T136:U136"/>
    <mergeCell ref="T127:U127"/>
    <mergeCell ref="T128:U128"/>
    <mergeCell ref="T129:U129"/>
    <mergeCell ref="T130:U130"/>
    <mergeCell ref="T131:U131"/>
    <mergeCell ref="T122:U122"/>
    <mergeCell ref="T123:U123"/>
    <mergeCell ref="T124:U124"/>
    <mergeCell ref="T125:U125"/>
    <mergeCell ref="T126:U126"/>
    <mergeCell ref="T117:U117"/>
    <mergeCell ref="T118:U118"/>
    <mergeCell ref="T119:U119"/>
    <mergeCell ref="T120:U120"/>
    <mergeCell ref="T121:U121"/>
    <mergeCell ref="T112:U112"/>
    <mergeCell ref="T113:U113"/>
    <mergeCell ref="T114:U114"/>
    <mergeCell ref="T115:U115"/>
    <mergeCell ref="T116:U116"/>
    <mergeCell ref="T107:U107"/>
    <mergeCell ref="T108:U108"/>
    <mergeCell ref="T109:U109"/>
    <mergeCell ref="T110:U110"/>
    <mergeCell ref="T111:U111"/>
    <mergeCell ref="T102:U102"/>
    <mergeCell ref="T103:U103"/>
    <mergeCell ref="T104:U104"/>
    <mergeCell ref="T105:U105"/>
    <mergeCell ref="T106:U106"/>
    <mergeCell ref="T97:U97"/>
    <mergeCell ref="T98:U98"/>
    <mergeCell ref="T99:U99"/>
    <mergeCell ref="T100:U100"/>
    <mergeCell ref="T101:U101"/>
    <mergeCell ref="T92:U92"/>
    <mergeCell ref="T93:U93"/>
    <mergeCell ref="T94:U94"/>
    <mergeCell ref="T95:U95"/>
    <mergeCell ref="T96:U96"/>
    <mergeCell ref="T87:U87"/>
    <mergeCell ref="T88:U88"/>
    <mergeCell ref="T89:U89"/>
    <mergeCell ref="T90:U90"/>
    <mergeCell ref="T91:U91"/>
    <mergeCell ref="T82:U82"/>
    <mergeCell ref="T83:U83"/>
    <mergeCell ref="T84:U84"/>
    <mergeCell ref="T85:U85"/>
    <mergeCell ref="T86:U86"/>
    <mergeCell ref="T77:U77"/>
    <mergeCell ref="T78:U78"/>
    <mergeCell ref="T79:U79"/>
    <mergeCell ref="T80:U80"/>
    <mergeCell ref="T81:U81"/>
    <mergeCell ref="T72:U72"/>
    <mergeCell ref="T73:U73"/>
    <mergeCell ref="T74:U74"/>
    <mergeCell ref="T75:U75"/>
    <mergeCell ref="T76:U76"/>
    <mergeCell ref="T67:U67"/>
    <mergeCell ref="T68:U68"/>
    <mergeCell ref="T69:U69"/>
    <mergeCell ref="T70:U70"/>
    <mergeCell ref="T71:U71"/>
    <mergeCell ref="T62:U62"/>
    <mergeCell ref="T63:U63"/>
    <mergeCell ref="T64:U64"/>
    <mergeCell ref="T65:U65"/>
    <mergeCell ref="T66:U66"/>
    <mergeCell ref="T57:U57"/>
    <mergeCell ref="T58:U58"/>
    <mergeCell ref="T59:U59"/>
    <mergeCell ref="T60:U60"/>
    <mergeCell ref="T61:U61"/>
    <mergeCell ref="T52:U52"/>
    <mergeCell ref="T53:U53"/>
    <mergeCell ref="T54:U54"/>
    <mergeCell ref="T55:U55"/>
    <mergeCell ref="T56:U56"/>
    <mergeCell ref="T47:U47"/>
    <mergeCell ref="T48:U48"/>
    <mergeCell ref="T49:U49"/>
    <mergeCell ref="T50:U50"/>
    <mergeCell ref="T51:U51"/>
    <mergeCell ref="T42:U42"/>
    <mergeCell ref="T43:U43"/>
    <mergeCell ref="T44:U44"/>
    <mergeCell ref="T45:U45"/>
    <mergeCell ref="T46:U46"/>
    <mergeCell ref="T37:U37"/>
    <mergeCell ref="T38:U38"/>
    <mergeCell ref="T39:U39"/>
    <mergeCell ref="T40:U40"/>
    <mergeCell ref="T41:U41"/>
    <mergeCell ref="T32:U32"/>
    <mergeCell ref="T33:U33"/>
    <mergeCell ref="T34:U34"/>
    <mergeCell ref="T35:U35"/>
    <mergeCell ref="T36:U36"/>
    <mergeCell ref="T27:U27"/>
    <mergeCell ref="T28:U28"/>
    <mergeCell ref="T29:U29"/>
    <mergeCell ref="T30:U30"/>
    <mergeCell ref="T31:U31"/>
    <mergeCell ref="T22:U22"/>
    <mergeCell ref="T23:U23"/>
    <mergeCell ref="T24:U24"/>
    <mergeCell ref="T25:U25"/>
    <mergeCell ref="T26:U26"/>
    <mergeCell ref="T17:U17"/>
    <mergeCell ref="T18:U18"/>
    <mergeCell ref="T19:U19"/>
    <mergeCell ref="T20:U20"/>
    <mergeCell ref="T21:U21"/>
    <mergeCell ref="T12:U12"/>
    <mergeCell ref="T13:U13"/>
    <mergeCell ref="T14:U14"/>
    <mergeCell ref="T15:U15"/>
    <mergeCell ref="T16:U16"/>
    <mergeCell ref="T7:U7"/>
    <mergeCell ref="T8:U8"/>
    <mergeCell ref="T9:U9"/>
    <mergeCell ref="T10:U10"/>
    <mergeCell ref="T11:U11"/>
    <mergeCell ref="F994:S994"/>
    <mergeCell ref="F995:S995"/>
    <mergeCell ref="F974:S974"/>
    <mergeCell ref="F975:S975"/>
    <mergeCell ref="F976:S976"/>
    <mergeCell ref="F977:S977"/>
    <mergeCell ref="F978:S978"/>
    <mergeCell ref="F969:S969"/>
    <mergeCell ref="F970:S970"/>
    <mergeCell ref="F971:S971"/>
    <mergeCell ref="F972:S972"/>
    <mergeCell ref="F973:S973"/>
    <mergeCell ref="F964:S964"/>
    <mergeCell ref="F965:S965"/>
    <mergeCell ref="F966:S966"/>
    <mergeCell ref="F967:S967"/>
    <mergeCell ref="F968:S968"/>
    <mergeCell ref="F996:S996"/>
    <mergeCell ref="F997:S997"/>
    <mergeCell ref="F998:S998"/>
    <mergeCell ref="F989:S989"/>
    <mergeCell ref="F990:S990"/>
    <mergeCell ref="F991:S991"/>
    <mergeCell ref="F992:S992"/>
    <mergeCell ref="F993:S993"/>
    <mergeCell ref="F984:S984"/>
    <mergeCell ref="F985:S985"/>
    <mergeCell ref="F986:S986"/>
    <mergeCell ref="F987:S987"/>
    <mergeCell ref="F988:S988"/>
    <mergeCell ref="F979:S979"/>
    <mergeCell ref="F980:S980"/>
    <mergeCell ref="F981:S981"/>
    <mergeCell ref="F982:S982"/>
    <mergeCell ref="F983:S983"/>
    <mergeCell ref="F959:S959"/>
    <mergeCell ref="F960:S960"/>
    <mergeCell ref="F961:S961"/>
    <mergeCell ref="F962:S962"/>
    <mergeCell ref="F963:S963"/>
    <mergeCell ref="F954:S954"/>
    <mergeCell ref="F955:S955"/>
    <mergeCell ref="F956:S956"/>
    <mergeCell ref="F957:S957"/>
    <mergeCell ref="F958:S958"/>
    <mergeCell ref="F949:S949"/>
    <mergeCell ref="F950:S950"/>
    <mergeCell ref="F951:S951"/>
    <mergeCell ref="F952:S952"/>
    <mergeCell ref="F953:S953"/>
    <mergeCell ref="F944:S944"/>
    <mergeCell ref="F945:S945"/>
    <mergeCell ref="F946:S946"/>
    <mergeCell ref="F947:S947"/>
    <mergeCell ref="F948:S948"/>
    <mergeCell ref="F939:S939"/>
    <mergeCell ref="F940:S940"/>
    <mergeCell ref="F941:S941"/>
    <mergeCell ref="F942:S942"/>
    <mergeCell ref="F943:S943"/>
    <mergeCell ref="F934:S934"/>
    <mergeCell ref="F935:S935"/>
    <mergeCell ref="F936:S936"/>
    <mergeCell ref="F937:S937"/>
    <mergeCell ref="F938:S938"/>
    <mergeCell ref="F929:S929"/>
    <mergeCell ref="F930:S930"/>
    <mergeCell ref="F931:S931"/>
    <mergeCell ref="F932:S932"/>
    <mergeCell ref="F933:S933"/>
    <mergeCell ref="F924:S924"/>
    <mergeCell ref="F925:S925"/>
    <mergeCell ref="F926:S926"/>
    <mergeCell ref="F927:S927"/>
    <mergeCell ref="F928:S928"/>
    <mergeCell ref="F919:S919"/>
    <mergeCell ref="F920:S920"/>
    <mergeCell ref="F921:S921"/>
    <mergeCell ref="F922:S922"/>
    <mergeCell ref="F923:S923"/>
    <mergeCell ref="F914:S914"/>
    <mergeCell ref="F915:S915"/>
    <mergeCell ref="F916:S916"/>
    <mergeCell ref="F917:S917"/>
    <mergeCell ref="F918:S918"/>
    <mergeCell ref="F909:S909"/>
    <mergeCell ref="F910:S910"/>
    <mergeCell ref="F911:S911"/>
    <mergeCell ref="F912:S912"/>
    <mergeCell ref="F913:S913"/>
    <mergeCell ref="F904:S904"/>
    <mergeCell ref="F905:S905"/>
    <mergeCell ref="F906:S906"/>
    <mergeCell ref="F907:S907"/>
    <mergeCell ref="F908:S908"/>
    <mergeCell ref="F899:S899"/>
    <mergeCell ref="F900:S900"/>
    <mergeCell ref="F901:S901"/>
    <mergeCell ref="F902:S902"/>
    <mergeCell ref="F903:S903"/>
    <mergeCell ref="F894:S894"/>
    <mergeCell ref="F895:S895"/>
    <mergeCell ref="F896:S896"/>
    <mergeCell ref="F897:S897"/>
    <mergeCell ref="F898:S898"/>
    <mergeCell ref="F889:S889"/>
    <mergeCell ref="F890:S890"/>
    <mergeCell ref="F891:S891"/>
    <mergeCell ref="F892:S892"/>
    <mergeCell ref="F893:S893"/>
    <mergeCell ref="F884:S884"/>
    <mergeCell ref="F885:S885"/>
    <mergeCell ref="F886:S886"/>
    <mergeCell ref="F887:S887"/>
    <mergeCell ref="F888:S888"/>
    <mergeCell ref="F879:S879"/>
    <mergeCell ref="F880:S880"/>
    <mergeCell ref="F881:S881"/>
    <mergeCell ref="F882:S882"/>
    <mergeCell ref="F883:S883"/>
    <mergeCell ref="F874:S874"/>
    <mergeCell ref="F875:S875"/>
    <mergeCell ref="F876:S876"/>
    <mergeCell ref="F877:S877"/>
    <mergeCell ref="F878:S878"/>
    <mergeCell ref="F869:S869"/>
    <mergeCell ref="F870:S870"/>
    <mergeCell ref="F871:S871"/>
    <mergeCell ref="F872:S872"/>
    <mergeCell ref="F873:S873"/>
    <mergeCell ref="F864:S864"/>
    <mergeCell ref="F865:S865"/>
    <mergeCell ref="F866:S866"/>
    <mergeCell ref="F867:S867"/>
    <mergeCell ref="F868:S868"/>
    <mergeCell ref="F859:S859"/>
    <mergeCell ref="F860:S860"/>
    <mergeCell ref="F861:S861"/>
    <mergeCell ref="F862:S862"/>
    <mergeCell ref="F863:S863"/>
    <mergeCell ref="F854:S854"/>
    <mergeCell ref="F855:S855"/>
    <mergeCell ref="F856:S856"/>
    <mergeCell ref="F857:S857"/>
    <mergeCell ref="F858:S858"/>
    <mergeCell ref="F849:S849"/>
    <mergeCell ref="F850:S850"/>
    <mergeCell ref="F851:S851"/>
    <mergeCell ref="F852:S852"/>
    <mergeCell ref="F853:S853"/>
    <mergeCell ref="F844:S844"/>
    <mergeCell ref="F845:S845"/>
    <mergeCell ref="F846:S846"/>
    <mergeCell ref="F847:S847"/>
    <mergeCell ref="F848:S848"/>
    <mergeCell ref="F839:S839"/>
    <mergeCell ref="F840:S840"/>
    <mergeCell ref="F841:S841"/>
    <mergeCell ref="F842:S842"/>
    <mergeCell ref="F843:S843"/>
    <mergeCell ref="F834:S834"/>
    <mergeCell ref="F835:S835"/>
    <mergeCell ref="F836:S836"/>
    <mergeCell ref="F837:S837"/>
    <mergeCell ref="F838:S838"/>
    <mergeCell ref="F829:S829"/>
    <mergeCell ref="F830:S830"/>
    <mergeCell ref="F831:S831"/>
    <mergeCell ref="F832:S832"/>
    <mergeCell ref="F833:S833"/>
    <mergeCell ref="F824:S824"/>
    <mergeCell ref="F825:S825"/>
    <mergeCell ref="F826:S826"/>
    <mergeCell ref="F827:S827"/>
    <mergeCell ref="F828:S828"/>
    <mergeCell ref="F819:S819"/>
    <mergeCell ref="F820:S820"/>
    <mergeCell ref="F821:S821"/>
    <mergeCell ref="F822:S822"/>
    <mergeCell ref="F823:S823"/>
    <mergeCell ref="F814:S814"/>
    <mergeCell ref="F815:S815"/>
    <mergeCell ref="F816:S816"/>
    <mergeCell ref="F817:S817"/>
    <mergeCell ref="F818:S818"/>
    <mergeCell ref="F809:S809"/>
    <mergeCell ref="F810:S810"/>
    <mergeCell ref="F811:S811"/>
    <mergeCell ref="F812:S812"/>
    <mergeCell ref="F813:S813"/>
    <mergeCell ref="F804:S804"/>
    <mergeCell ref="F805:S805"/>
    <mergeCell ref="F806:S806"/>
    <mergeCell ref="F807:S807"/>
    <mergeCell ref="F808:S808"/>
    <mergeCell ref="F799:S799"/>
    <mergeCell ref="F800:S800"/>
    <mergeCell ref="F801:S801"/>
    <mergeCell ref="F802:S802"/>
    <mergeCell ref="F803:S803"/>
    <mergeCell ref="F794:S794"/>
    <mergeCell ref="F795:S795"/>
    <mergeCell ref="F796:S796"/>
    <mergeCell ref="F797:S797"/>
    <mergeCell ref="F798:S798"/>
    <mergeCell ref="F789:S789"/>
    <mergeCell ref="F790:S790"/>
    <mergeCell ref="F791:S791"/>
    <mergeCell ref="F792:S792"/>
    <mergeCell ref="F793:S793"/>
    <mergeCell ref="F784:S784"/>
    <mergeCell ref="F785:S785"/>
    <mergeCell ref="F786:S786"/>
    <mergeCell ref="F787:S787"/>
    <mergeCell ref="F788:S788"/>
    <mergeCell ref="F779:S779"/>
    <mergeCell ref="F780:S780"/>
    <mergeCell ref="F781:S781"/>
    <mergeCell ref="F782:S782"/>
    <mergeCell ref="F783:S783"/>
    <mergeCell ref="F774:S774"/>
    <mergeCell ref="F775:S775"/>
    <mergeCell ref="F776:S776"/>
    <mergeCell ref="F777:S777"/>
    <mergeCell ref="F778:S778"/>
    <mergeCell ref="F769:S769"/>
    <mergeCell ref="F770:S770"/>
    <mergeCell ref="F771:S771"/>
    <mergeCell ref="F772:S772"/>
    <mergeCell ref="F773:S773"/>
    <mergeCell ref="F764:S764"/>
    <mergeCell ref="F765:S765"/>
    <mergeCell ref="F766:S766"/>
    <mergeCell ref="F767:S767"/>
    <mergeCell ref="F768:S768"/>
    <mergeCell ref="F759:S759"/>
    <mergeCell ref="F760:S760"/>
    <mergeCell ref="F761:S761"/>
    <mergeCell ref="F762:S762"/>
    <mergeCell ref="F763:S763"/>
    <mergeCell ref="F754:S754"/>
    <mergeCell ref="F755:S755"/>
    <mergeCell ref="F756:S756"/>
    <mergeCell ref="F757:S757"/>
    <mergeCell ref="F758:S758"/>
    <mergeCell ref="F749:S749"/>
    <mergeCell ref="F750:S750"/>
    <mergeCell ref="F751:S751"/>
    <mergeCell ref="F752:S752"/>
    <mergeCell ref="F753:S753"/>
    <mergeCell ref="F744:S744"/>
    <mergeCell ref="F745:S745"/>
    <mergeCell ref="F746:S746"/>
    <mergeCell ref="F747:S747"/>
    <mergeCell ref="F748:S748"/>
    <mergeCell ref="F739:S739"/>
    <mergeCell ref="F740:S740"/>
    <mergeCell ref="F741:S741"/>
    <mergeCell ref="F742:S742"/>
    <mergeCell ref="F743:S743"/>
    <mergeCell ref="F734:S734"/>
    <mergeCell ref="F735:S735"/>
    <mergeCell ref="F736:S736"/>
    <mergeCell ref="F737:S737"/>
    <mergeCell ref="F738:S738"/>
    <mergeCell ref="F729:S729"/>
    <mergeCell ref="F730:S730"/>
    <mergeCell ref="F731:S731"/>
    <mergeCell ref="F732:S732"/>
    <mergeCell ref="F733:S733"/>
    <mergeCell ref="F724:S724"/>
    <mergeCell ref="F725:S725"/>
    <mergeCell ref="F726:S726"/>
    <mergeCell ref="F727:S727"/>
    <mergeCell ref="F728:S728"/>
    <mergeCell ref="F719:S719"/>
    <mergeCell ref="F720:S720"/>
    <mergeCell ref="F721:S721"/>
    <mergeCell ref="F722:S722"/>
    <mergeCell ref="F723:S723"/>
    <mergeCell ref="F714:S714"/>
    <mergeCell ref="F715:S715"/>
    <mergeCell ref="F716:S716"/>
    <mergeCell ref="F717:S717"/>
    <mergeCell ref="F718:S718"/>
    <mergeCell ref="F709:S709"/>
    <mergeCell ref="F710:S710"/>
    <mergeCell ref="F711:S711"/>
    <mergeCell ref="F712:S712"/>
    <mergeCell ref="F713:S713"/>
    <mergeCell ref="F704:S704"/>
    <mergeCell ref="F705:S705"/>
    <mergeCell ref="F706:S706"/>
    <mergeCell ref="F707:S707"/>
    <mergeCell ref="F708:S708"/>
    <mergeCell ref="F699:S699"/>
    <mergeCell ref="F700:S700"/>
    <mergeCell ref="F701:S701"/>
    <mergeCell ref="F702:S702"/>
    <mergeCell ref="F703:S703"/>
    <mergeCell ref="F694:S694"/>
    <mergeCell ref="F695:S695"/>
    <mergeCell ref="F696:S696"/>
    <mergeCell ref="F697:S697"/>
    <mergeCell ref="F698:S698"/>
    <mergeCell ref="F689:S689"/>
    <mergeCell ref="F690:S690"/>
    <mergeCell ref="F691:S691"/>
    <mergeCell ref="F692:S692"/>
    <mergeCell ref="F693:S693"/>
    <mergeCell ref="F684:S684"/>
    <mergeCell ref="F685:S685"/>
    <mergeCell ref="F686:S686"/>
    <mergeCell ref="F687:S687"/>
    <mergeCell ref="F688:S688"/>
    <mergeCell ref="F679:S679"/>
    <mergeCell ref="F680:S680"/>
    <mergeCell ref="F681:S681"/>
    <mergeCell ref="F682:S682"/>
    <mergeCell ref="F683:S683"/>
    <mergeCell ref="F674:S674"/>
    <mergeCell ref="F675:S675"/>
    <mergeCell ref="F676:S676"/>
    <mergeCell ref="F677:S677"/>
    <mergeCell ref="F678:S678"/>
    <mergeCell ref="F669:S669"/>
    <mergeCell ref="F670:S670"/>
    <mergeCell ref="F671:S671"/>
    <mergeCell ref="F672:S672"/>
    <mergeCell ref="F673:S673"/>
    <mergeCell ref="F664:S664"/>
    <mergeCell ref="F665:S665"/>
    <mergeCell ref="F666:S666"/>
    <mergeCell ref="F667:S667"/>
    <mergeCell ref="F668:S668"/>
    <mergeCell ref="F659:S659"/>
    <mergeCell ref="F660:S660"/>
    <mergeCell ref="F661:S661"/>
    <mergeCell ref="F662:S662"/>
    <mergeCell ref="F663:S663"/>
    <mergeCell ref="F654:S654"/>
    <mergeCell ref="F655:S655"/>
    <mergeCell ref="F656:S656"/>
    <mergeCell ref="F657:S657"/>
    <mergeCell ref="F658:S658"/>
    <mergeCell ref="F649:S649"/>
    <mergeCell ref="F650:S650"/>
    <mergeCell ref="F651:S651"/>
    <mergeCell ref="F652:S652"/>
    <mergeCell ref="F653:S653"/>
    <mergeCell ref="F644:S644"/>
    <mergeCell ref="F645:S645"/>
    <mergeCell ref="F646:S646"/>
    <mergeCell ref="F647:S647"/>
    <mergeCell ref="F648:S648"/>
    <mergeCell ref="F639:S639"/>
    <mergeCell ref="F640:S640"/>
    <mergeCell ref="F641:S641"/>
    <mergeCell ref="F642:S642"/>
    <mergeCell ref="F643:S643"/>
    <mergeCell ref="F634:S634"/>
    <mergeCell ref="F635:S635"/>
    <mergeCell ref="F636:S636"/>
    <mergeCell ref="F637:S637"/>
    <mergeCell ref="F638:S638"/>
    <mergeCell ref="F629:S629"/>
    <mergeCell ref="F630:S630"/>
    <mergeCell ref="F631:S631"/>
    <mergeCell ref="F632:S632"/>
    <mergeCell ref="F633:S633"/>
    <mergeCell ref="F624:S624"/>
    <mergeCell ref="F625:S625"/>
    <mergeCell ref="F626:S626"/>
    <mergeCell ref="F627:S627"/>
    <mergeCell ref="F628:S628"/>
    <mergeCell ref="F619:S619"/>
    <mergeCell ref="F620:S620"/>
    <mergeCell ref="F621:S621"/>
    <mergeCell ref="F622:S622"/>
    <mergeCell ref="F623:S623"/>
    <mergeCell ref="F614:S614"/>
    <mergeCell ref="F615:S615"/>
    <mergeCell ref="F616:S616"/>
    <mergeCell ref="F617:S617"/>
    <mergeCell ref="F618:S618"/>
    <mergeCell ref="F609:S609"/>
    <mergeCell ref="F610:S610"/>
    <mergeCell ref="F611:S611"/>
    <mergeCell ref="F612:S612"/>
    <mergeCell ref="F613:S613"/>
    <mergeCell ref="F604:S604"/>
    <mergeCell ref="F605:S605"/>
    <mergeCell ref="F606:S606"/>
    <mergeCell ref="F607:S607"/>
    <mergeCell ref="F608:S608"/>
    <mergeCell ref="F599:S599"/>
    <mergeCell ref="F600:S600"/>
    <mergeCell ref="F601:S601"/>
    <mergeCell ref="F602:S602"/>
    <mergeCell ref="F603:S603"/>
    <mergeCell ref="F594:S594"/>
    <mergeCell ref="F595:S595"/>
    <mergeCell ref="F596:S596"/>
    <mergeCell ref="F597:S597"/>
    <mergeCell ref="F598:S598"/>
    <mergeCell ref="F589:S589"/>
    <mergeCell ref="F590:S590"/>
    <mergeCell ref="F591:S591"/>
    <mergeCell ref="F592:S592"/>
    <mergeCell ref="F593:S593"/>
    <mergeCell ref="F584:S584"/>
    <mergeCell ref="F585:S585"/>
    <mergeCell ref="F586:S586"/>
    <mergeCell ref="F587:S587"/>
    <mergeCell ref="F588:S588"/>
    <mergeCell ref="F579:S579"/>
    <mergeCell ref="F580:S580"/>
    <mergeCell ref="F581:S581"/>
    <mergeCell ref="F582:S582"/>
    <mergeCell ref="F583:S583"/>
    <mergeCell ref="F574:S574"/>
    <mergeCell ref="F575:S575"/>
    <mergeCell ref="F576:S576"/>
    <mergeCell ref="F577:S577"/>
    <mergeCell ref="F578:S578"/>
    <mergeCell ref="F569:S569"/>
    <mergeCell ref="F570:S570"/>
    <mergeCell ref="F571:S571"/>
    <mergeCell ref="F572:S572"/>
    <mergeCell ref="F573:S573"/>
    <mergeCell ref="F564:S564"/>
    <mergeCell ref="F565:S565"/>
    <mergeCell ref="F566:S566"/>
    <mergeCell ref="F567:S567"/>
    <mergeCell ref="F568:S568"/>
    <mergeCell ref="F559:S559"/>
    <mergeCell ref="F560:S560"/>
    <mergeCell ref="F561:S561"/>
    <mergeCell ref="F562:S562"/>
    <mergeCell ref="F563:S563"/>
    <mergeCell ref="F554:S554"/>
    <mergeCell ref="F555:S555"/>
    <mergeCell ref="F556:S556"/>
    <mergeCell ref="F557:S557"/>
    <mergeCell ref="F558:S558"/>
    <mergeCell ref="F549:S549"/>
    <mergeCell ref="F550:S550"/>
    <mergeCell ref="F551:S551"/>
    <mergeCell ref="F552:S552"/>
    <mergeCell ref="F553:S553"/>
    <mergeCell ref="F544:S544"/>
    <mergeCell ref="F545:S545"/>
    <mergeCell ref="F546:S546"/>
    <mergeCell ref="F547:S547"/>
    <mergeCell ref="F548:S548"/>
    <mergeCell ref="F539:S539"/>
    <mergeCell ref="F540:S540"/>
    <mergeCell ref="F541:S541"/>
    <mergeCell ref="F542:S542"/>
    <mergeCell ref="F543:S543"/>
    <mergeCell ref="F534:S534"/>
    <mergeCell ref="F535:S535"/>
    <mergeCell ref="F536:S536"/>
    <mergeCell ref="F537:S537"/>
    <mergeCell ref="F538:S538"/>
    <mergeCell ref="F529:S529"/>
    <mergeCell ref="F530:S530"/>
    <mergeCell ref="F531:S531"/>
    <mergeCell ref="F532:S532"/>
    <mergeCell ref="F533:S533"/>
    <mergeCell ref="F524:S524"/>
    <mergeCell ref="F525:S525"/>
    <mergeCell ref="F526:S526"/>
    <mergeCell ref="F527:S527"/>
    <mergeCell ref="F528:S528"/>
    <mergeCell ref="F519:S519"/>
    <mergeCell ref="F520:S520"/>
    <mergeCell ref="F521:S521"/>
    <mergeCell ref="F522:S522"/>
    <mergeCell ref="F523:S523"/>
    <mergeCell ref="F514:S514"/>
    <mergeCell ref="F515:S515"/>
    <mergeCell ref="F516:S516"/>
    <mergeCell ref="F517:S517"/>
    <mergeCell ref="F518:S518"/>
    <mergeCell ref="F509:S509"/>
    <mergeCell ref="F510:S510"/>
    <mergeCell ref="F511:S511"/>
    <mergeCell ref="F512:S512"/>
    <mergeCell ref="F513:S513"/>
    <mergeCell ref="F504:S504"/>
    <mergeCell ref="F505:S505"/>
    <mergeCell ref="F506:S506"/>
    <mergeCell ref="F507:S507"/>
    <mergeCell ref="F508:S508"/>
    <mergeCell ref="F499:S499"/>
    <mergeCell ref="F500:S500"/>
    <mergeCell ref="F501:S501"/>
    <mergeCell ref="F502:S502"/>
    <mergeCell ref="F503:S503"/>
    <mergeCell ref="F494:S494"/>
    <mergeCell ref="F495:S495"/>
    <mergeCell ref="F496:S496"/>
    <mergeCell ref="F497:S497"/>
    <mergeCell ref="F498:S498"/>
    <mergeCell ref="F489:S489"/>
    <mergeCell ref="F490:S490"/>
    <mergeCell ref="F491:S491"/>
    <mergeCell ref="F492:S492"/>
    <mergeCell ref="F493:S493"/>
    <mergeCell ref="F484:S484"/>
    <mergeCell ref="F485:S485"/>
    <mergeCell ref="F486:S486"/>
    <mergeCell ref="F487:S487"/>
    <mergeCell ref="F488:S488"/>
    <mergeCell ref="F479:S479"/>
    <mergeCell ref="F480:S480"/>
    <mergeCell ref="F481:S481"/>
    <mergeCell ref="F482:S482"/>
    <mergeCell ref="F483:S483"/>
    <mergeCell ref="F474:S474"/>
    <mergeCell ref="F475:S475"/>
    <mergeCell ref="F476:S476"/>
    <mergeCell ref="F477:S477"/>
    <mergeCell ref="F478:S478"/>
    <mergeCell ref="F469:S469"/>
    <mergeCell ref="F470:S470"/>
    <mergeCell ref="F471:S471"/>
    <mergeCell ref="F472:S472"/>
    <mergeCell ref="F473:S473"/>
    <mergeCell ref="F464:S464"/>
    <mergeCell ref="F465:S465"/>
    <mergeCell ref="F466:S466"/>
    <mergeCell ref="F467:S467"/>
    <mergeCell ref="F468:S468"/>
    <mergeCell ref="F459:S459"/>
    <mergeCell ref="F460:S460"/>
    <mergeCell ref="F461:S461"/>
    <mergeCell ref="F462:S462"/>
    <mergeCell ref="F463:S463"/>
    <mergeCell ref="F454:S454"/>
    <mergeCell ref="F455:S455"/>
    <mergeCell ref="F456:S456"/>
    <mergeCell ref="F457:S457"/>
    <mergeCell ref="F458:S458"/>
    <mergeCell ref="F449:S449"/>
    <mergeCell ref="F450:S450"/>
    <mergeCell ref="F451:S451"/>
    <mergeCell ref="F452:S452"/>
    <mergeCell ref="F453:S453"/>
    <mergeCell ref="F444:S444"/>
    <mergeCell ref="F445:S445"/>
    <mergeCell ref="F446:S446"/>
    <mergeCell ref="F447:S447"/>
    <mergeCell ref="F448:S448"/>
    <mergeCell ref="F439:S439"/>
    <mergeCell ref="F440:S440"/>
    <mergeCell ref="F441:S441"/>
    <mergeCell ref="F442:S442"/>
    <mergeCell ref="F443:S443"/>
    <mergeCell ref="F434:S434"/>
    <mergeCell ref="F435:S435"/>
    <mergeCell ref="F436:S436"/>
    <mergeCell ref="F437:S437"/>
    <mergeCell ref="F438:S438"/>
    <mergeCell ref="F429:S429"/>
    <mergeCell ref="F430:S430"/>
    <mergeCell ref="F431:S431"/>
    <mergeCell ref="F432:S432"/>
    <mergeCell ref="F433:S433"/>
    <mergeCell ref="F424:S424"/>
    <mergeCell ref="F425:S425"/>
    <mergeCell ref="F426:S426"/>
    <mergeCell ref="F427:S427"/>
    <mergeCell ref="F428:S428"/>
    <mergeCell ref="F419:S419"/>
    <mergeCell ref="F420:S420"/>
    <mergeCell ref="F421:S421"/>
    <mergeCell ref="F422:S422"/>
    <mergeCell ref="F423:S423"/>
    <mergeCell ref="F414:S414"/>
    <mergeCell ref="F415:S415"/>
    <mergeCell ref="F416:S416"/>
    <mergeCell ref="F417:S417"/>
    <mergeCell ref="F418:S418"/>
    <mergeCell ref="F409:S409"/>
    <mergeCell ref="F410:S410"/>
    <mergeCell ref="F411:S411"/>
    <mergeCell ref="F412:S412"/>
    <mergeCell ref="F413:S413"/>
    <mergeCell ref="F404:S404"/>
    <mergeCell ref="F405:S405"/>
    <mergeCell ref="F406:S406"/>
    <mergeCell ref="F407:S407"/>
    <mergeCell ref="F408:S408"/>
    <mergeCell ref="F399:S399"/>
    <mergeCell ref="F400:S400"/>
    <mergeCell ref="F401:S401"/>
    <mergeCell ref="F402:S402"/>
    <mergeCell ref="F403:S403"/>
    <mergeCell ref="F394:S394"/>
    <mergeCell ref="F395:S395"/>
    <mergeCell ref="F396:S396"/>
    <mergeCell ref="F397:S397"/>
    <mergeCell ref="F398:S398"/>
    <mergeCell ref="F389:S389"/>
    <mergeCell ref="F390:S390"/>
    <mergeCell ref="F391:S391"/>
    <mergeCell ref="F392:S392"/>
    <mergeCell ref="F393:S393"/>
    <mergeCell ref="F384:S384"/>
    <mergeCell ref="F385:S385"/>
    <mergeCell ref="F386:S386"/>
    <mergeCell ref="F387:S387"/>
    <mergeCell ref="F388:S388"/>
    <mergeCell ref="F379:S379"/>
    <mergeCell ref="F380:S380"/>
    <mergeCell ref="F381:S381"/>
    <mergeCell ref="F382:S382"/>
    <mergeCell ref="F383:S383"/>
    <mergeCell ref="F374:S374"/>
    <mergeCell ref="F375:S375"/>
    <mergeCell ref="F376:S376"/>
    <mergeCell ref="F377:S377"/>
    <mergeCell ref="F378:S378"/>
    <mergeCell ref="F369:S369"/>
    <mergeCell ref="F370:S370"/>
    <mergeCell ref="F371:S371"/>
    <mergeCell ref="F372:S372"/>
    <mergeCell ref="F373:S373"/>
    <mergeCell ref="F364:S364"/>
    <mergeCell ref="F365:S365"/>
    <mergeCell ref="F366:S366"/>
    <mergeCell ref="F367:S367"/>
    <mergeCell ref="F368:S368"/>
    <mergeCell ref="F359:S359"/>
    <mergeCell ref="F360:S360"/>
    <mergeCell ref="F361:S361"/>
    <mergeCell ref="F362:S362"/>
    <mergeCell ref="F363:S363"/>
    <mergeCell ref="F354:S354"/>
    <mergeCell ref="F355:S355"/>
    <mergeCell ref="F356:S356"/>
    <mergeCell ref="F357:S357"/>
    <mergeCell ref="F358:S358"/>
    <mergeCell ref="F349:S349"/>
    <mergeCell ref="F350:S350"/>
    <mergeCell ref="F351:S351"/>
    <mergeCell ref="F352:S352"/>
    <mergeCell ref="F353:S353"/>
    <mergeCell ref="F344:S344"/>
    <mergeCell ref="F345:S345"/>
    <mergeCell ref="F346:S346"/>
    <mergeCell ref="F347:S347"/>
    <mergeCell ref="F348:S348"/>
    <mergeCell ref="F339:S339"/>
    <mergeCell ref="F340:S340"/>
    <mergeCell ref="F341:S341"/>
    <mergeCell ref="F342:S342"/>
    <mergeCell ref="F343:S343"/>
    <mergeCell ref="F334:S334"/>
    <mergeCell ref="F335:S335"/>
    <mergeCell ref="F336:S336"/>
    <mergeCell ref="F337:S337"/>
    <mergeCell ref="F338:S338"/>
    <mergeCell ref="F329:S329"/>
    <mergeCell ref="F330:S330"/>
    <mergeCell ref="F331:S331"/>
    <mergeCell ref="F332:S332"/>
    <mergeCell ref="F333:S333"/>
    <mergeCell ref="F324:S324"/>
    <mergeCell ref="F325:S325"/>
    <mergeCell ref="F326:S326"/>
    <mergeCell ref="F327:S327"/>
    <mergeCell ref="F328:S328"/>
    <mergeCell ref="F319:S319"/>
    <mergeCell ref="F320:S320"/>
    <mergeCell ref="F321:S321"/>
    <mergeCell ref="F322:S322"/>
    <mergeCell ref="F323:S323"/>
    <mergeCell ref="F314:S314"/>
    <mergeCell ref="F315:S315"/>
    <mergeCell ref="F316:S316"/>
    <mergeCell ref="F317:S317"/>
    <mergeCell ref="F318:S318"/>
    <mergeCell ref="F309:S309"/>
    <mergeCell ref="F310:S310"/>
    <mergeCell ref="F311:S311"/>
    <mergeCell ref="F312:S312"/>
    <mergeCell ref="F313:S313"/>
    <mergeCell ref="F304:S304"/>
    <mergeCell ref="F305:S305"/>
    <mergeCell ref="F306:S306"/>
    <mergeCell ref="F307:S307"/>
    <mergeCell ref="F308:S308"/>
    <mergeCell ref="F299:S299"/>
    <mergeCell ref="F300:S300"/>
    <mergeCell ref="F301:S301"/>
    <mergeCell ref="F302:S302"/>
    <mergeCell ref="F303:S303"/>
    <mergeCell ref="F294:S294"/>
    <mergeCell ref="F295:S295"/>
    <mergeCell ref="F296:S296"/>
    <mergeCell ref="F297:S297"/>
    <mergeCell ref="F298:S298"/>
    <mergeCell ref="F289:S289"/>
    <mergeCell ref="F290:S290"/>
    <mergeCell ref="F291:S291"/>
    <mergeCell ref="F292:S292"/>
    <mergeCell ref="F293:S293"/>
    <mergeCell ref="F284:S284"/>
    <mergeCell ref="F285:S285"/>
    <mergeCell ref="F286:S286"/>
    <mergeCell ref="F287:S287"/>
    <mergeCell ref="F288:S288"/>
    <mergeCell ref="F279:S279"/>
    <mergeCell ref="F280:S280"/>
    <mergeCell ref="F281:S281"/>
    <mergeCell ref="F282:S282"/>
    <mergeCell ref="F283:S283"/>
    <mergeCell ref="F274:S274"/>
    <mergeCell ref="F275:S275"/>
    <mergeCell ref="F276:S276"/>
    <mergeCell ref="F277:S277"/>
    <mergeCell ref="F278:S278"/>
    <mergeCell ref="F269:S269"/>
    <mergeCell ref="F270:S270"/>
    <mergeCell ref="F271:S271"/>
    <mergeCell ref="F272:S272"/>
    <mergeCell ref="F273:S273"/>
    <mergeCell ref="F264:S264"/>
    <mergeCell ref="F265:S265"/>
    <mergeCell ref="F266:S266"/>
    <mergeCell ref="F267:S267"/>
    <mergeCell ref="F268:S268"/>
    <mergeCell ref="F259:S259"/>
    <mergeCell ref="F260:S260"/>
    <mergeCell ref="F261:S261"/>
    <mergeCell ref="F262:S262"/>
    <mergeCell ref="F263:S263"/>
    <mergeCell ref="F254:S254"/>
    <mergeCell ref="F255:S255"/>
    <mergeCell ref="F256:S256"/>
    <mergeCell ref="F257:S257"/>
    <mergeCell ref="F258:S258"/>
    <mergeCell ref="F249:S249"/>
    <mergeCell ref="F250:S250"/>
    <mergeCell ref="F251:S251"/>
    <mergeCell ref="F252:S252"/>
    <mergeCell ref="F253:S253"/>
    <mergeCell ref="F244:S244"/>
    <mergeCell ref="F245:S245"/>
    <mergeCell ref="F246:S246"/>
    <mergeCell ref="F247:S247"/>
    <mergeCell ref="F248:S248"/>
    <mergeCell ref="F239:S239"/>
    <mergeCell ref="F240:S240"/>
    <mergeCell ref="F241:S241"/>
    <mergeCell ref="F242:S242"/>
    <mergeCell ref="F243:S243"/>
    <mergeCell ref="F234:S234"/>
    <mergeCell ref="F235:S235"/>
    <mergeCell ref="F236:S236"/>
    <mergeCell ref="F237:S237"/>
    <mergeCell ref="F238:S238"/>
    <mergeCell ref="F229:S229"/>
    <mergeCell ref="F230:S230"/>
    <mergeCell ref="F231:S231"/>
    <mergeCell ref="F232:S232"/>
    <mergeCell ref="F233:S233"/>
    <mergeCell ref="F224:S224"/>
    <mergeCell ref="F225:S225"/>
    <mergeCell ref="F226:S226"/>
    <mergeCell ref="F227:S227"/>
    <mergeCell ref="F228:S228"/>
    <mergeCell ref="F219:S219"/>
    <mergeCell ref="F220:S220"/>
    <mergeCell ref="F221:S221"/>
    <mergeCell ref="F222:S222"/>
    <mergeCell ref="F223:S223"/>
    <mergeCell ref="F214:S214"/>
    <mergeCell ref="F215:S215"/>
    <mergeCell ref="F216:S216"/>
    <mergeCell ref="F217:S217"/>
    <mergeCell ref="F218:S218"/>
    <mergeCell ref="F209:S209"/>
    <mergeCell ref="F210:S210"/>
    <mergeCell ref="F211:S211"/>
    <mergeCell ref="F212:S212"/>
    <mergeCell ref="F213:S213"/>
    <mergeCell ref="F204:S204"/>
    <mergeCell ref="F205:S205"/>
    <mergeCell ref="F206:S206"/>
    <mergeCell ref="F207:S207"/>
    <mergeCell ref="F208:S208"/>
    <mergeCell ref="F199:S199"/>
    <mergeCell ref="F200:S200"/>
    <mergeCell ref="F201:S201"/>
    <mergeCell ref="F202:S202"/>
    <mergeCell ref="F203:S203"/>
    <mergeCell ref="F194:S194"/>
    <mergeCell ref="F195:S195"/>
    <mergeCell ref="F196:S196"/>
    <mergeCell ref="F197:S197"/>
    <mergeCell ref="F198:S198"/>
    <mergeCell ref="F189:S189"/>
    <mergeCell ref="F190:S190"/>
    <mergeCell ref="F191:S191"/>
    <mergeCell ref="F192:S192"/>
    <mergeCell ref="F193:S193"/>
    <mergeCell ref="F184:S184"/>
    <mergeCell ref="F185:S185"/>
    <mergeCell ref="F186:S186"/>
    <mergeCell ref="F187:S187"/>
    <mergeCell ref="F188:S188"/>
    <mergeCell ref="F179:S179"/>
    <mergeCell ref="F180:S180"/>
    <mergeCell ref="F181:S181"/>
    <mergeCell ref="F182:S182"/>
    <mergeCell ref="F183:S183"/>
    <mergeCell ref="F174:S174"/>
    <mergeCell ref="F175:S175"/>
    <mergeCell ref="F176:S176"/>
    <mergeCell ref="F177:S177"/>
    <mergeCell ref="F178:S178"/>
    <mergeCell ref="F169:S169"/>
    <mergeCell ref="F170:S170"/>
    <mergeCell ref="F171:S171"/>
    <mergeCell ref="F172:S172"/>
    <mergeCell ref="F173:S173"/>
    <mergeCell ref="F164:S164"/>
    <mergeCell ref="F165:S165"/>
    <mergeCell ref="F166:S166"/>
    <mergeCell ref="F167:S167"/>
    <mergeCell ref="F168:S168"/>
    <mergeCell ref="F159:S159"/>
    <mergeCell ref="F160:S160"/>
    <mergeCell ref="F161:S161"/>
    <mergeCell ref="F162:S162"/>
    <mergeCell ref="F163:S163"/>
    <mergeCell ref="F154:S154"/>
    <mergeCell ref="F155:S155"/>
    <mergeCell ref="F156:S156"/>
    <mergeCell ref="F157:S157"/>
    <mergeCell ref="F158:S158"/>
    <mergeCell ref="F149:S149"/>
    <mergeCell ref="F150:S150"/>
    <mergeCell ref="F151:S151"/>
    <mergeCell ref="F152:S152"/>
    <mergeCell ref="F153:S153"/>
    <mergeCell ref="F144:S144"/>
    <mergeCell ref="F145:S145"/>
    <mergeCell ref="F146:S146"/>
    <mergeCell ref="F147:S147"/>
    <mergeCell ref="F148:S148"/>
    <mergeCell ref="F139:S139"/>
    <mergeCell ref="F140:S140"/>
    <mergeCell ref="F141:S141"/>
    <mergeCell ref="F142:S142"/>
    <mergeCell ref="F143:S143"/>
    <mergeCell ref="F134:S134"/>
    <mergeCell ref="F135:S135"/>
    <mergeCell ref="F136:S136"/>
    <mergeCell ref="F137:S137"/>
    <mergeCell ref="F138:S138"/>
    <mergeCell ref="F129:S129"/>
    <mergeCell ref="F130:S130"/>
    <mergeCell ref="F131:S131"/>
    <mergeCell ref="F132:S132"/>
    <mergeCell ref="F133:S133"/>
    <mergeCell ref="F124:S124"/>
    <mergeCell ref="F125:S125"/>
    <mergeCell ref="F126:S126"/>
    <mergeCell ref="F127:S127"/>
    <mergeCell ref="F128:S128"/>
    <mergeCell ref="F119:S119"/>
    <mergeCell ref="F120:S120"/>
    <mergeCell ref="F121:S121"/>
    <mergeCell ref="F122:S122"/>
    <mergeCell ref="F123:S123"/>
    <mergeCell ref="F114:S114"/>
    <mergeCell ref="F115:S115"/>
    <mergeCell ref="F116:S116"/>
    <mergeCell ref="F117:S117"/>
    <mergeCell ref="F118:S118"/>
    <mergeCell ref="F109:S109"/>
    <mergeCell ref="F110:S110"/>
    <mergeCell ref="F111:S111"/>
    <mergeCell ref="F112:S112"/>
    <mergeCell ref="F113:S113"/>
    <mergeCell ref="F104:S104"/>
    <mergeCell ref="F105:S105"/>
    <mergeCell ref="F106:S106"/>
    <mergeCell ref="F107:S107"/>
    <mergeCell ref="F108:S108"/>
    <mergeCell ref="F99:S99"/>
    <mergeCell ref="F100:S100"/>
    <mergeCell ref="F101:S101"/>
    <mergeCell ref="F102:S102"/>
    <mergeCell ref="F103:S103"/>
    <mergeCell ref="F94:S94"/>
    <mergeCell ref="F95:S95"/>
    <mergeCell ref="F96:S96"/>
    <mergeCell ref="F97:S97"/>
    <mergeCell ref="F98:S98"/>
    <mergeCell ref="F89:S89"/>
    <mergeCell ref="F90:S90"/>
    <mergeCell ref="F91:S91"/>
    <mergeCell ref="F92:S92"/>
    <mergeCell ref="F93:S93"/>
    <mergeCell ref="F84:S84"/>
    <mergeCell ref="F85:S85"/>
    <mergeCell ref="F86:S86"/>
    <mergeCell ref="F87:S87"/>
    <mergeCell ref="F88:S88"/>
    <mergeCell ref="F79:S79"/>
    <mergeCell ref="F80:S80"/>
    <mergeCell ref="F81:S81"/>
    <mergeCell ref="F82:S82"/>
    <mergeCell ref="F83:S83"/>
    <mergeCell ref="F74:S74"/>
    <mergeCell ref="F75:S75"/>
    <mergeCell ref="F76:S76"/>
    <mergeCell ref="F77:S77"/>
    <mergeCell ref="F78:S78"/>
    <mergeCell ref="F69:S69"/>
    <mergeCell ref="F70:S70"/>
    <mergeCell ref="F71:S71"/>
    <mergeCell ref="F72:S72"/>
    <mergeCell ref="F73:S73"/>
    <mergeCell ref="F64:S64"/>
    <mergeCell ref="F65:S65"/>
    <mergeCell ref="F66:S66"/>
    <mergeCell ref="F67:S67"/>
    <mergeCell ref="F68:S68"/>
    <mergeCell ref="F31:S31"/>
    <mergeCell ref="F32:S32"/>
    <mergeCell ref="F33:S33"/>
    <mergeCell ref="F24:S24"/>
    <mergeCell ref="F25:S25"/>
    <mergeCell ref="F26:S26"/>
    <mergeCell ref="F27:S27"/>
    <mergeCell ref="F28:S28"/>
    <mergeCell ref="F59:S59"/>
    <mergeCell ref="F60:S60"/>
    <mergeCell ref="F61:S61"/>
    <mergeCell ref="F62:S62"/>
    <mergeCell ref="F63:S63"/>
    <mergeCell ref="F54:S54"/>
    <mergeCell ref="F55:S55"/>
    <mergeCell ref="F56:S56"/>
    <mergeCell ref="F57:S57"/>
    <mergeCell ref="F58:S58"/>
    <mergeCell ref="F49:S49"/>
    <mergeCell ref="F50:S50"/>
    <mergeCell ref="F51:S51"/>
    <mergeCell ref="F52:S52"/>
    <mergeCell ref="F53:S53"/>
    <mergeCell ref="F44:S44"/>
    <mergeCell ref="F45:S45"/>
    <mergeCell ref="F46:S46"/>
    <mergeCell ref="F47:S47"/>
    <mergeCell ref="F48:S48"/>
    <mergeCell ref="D997:E997"/>
    <mergeCell ref="D998:E998"/>
    <mergeCell ref="F5:S5"/>
    <mergeCell ref="F6:S6"/>
    <mergeCell ref="F7:S7"/>
    <mergeCell ref="F8:S8"/>
    <mergeCell ref="F9:S9"/>
    <mergeCell ref="F10:S10"/>
    <mergeCell ref="F11:S11"/>
    <mergeCell ref="F12:S12"/>
    <mergeCell ref="F13:S13"/>
    <mergeCell ref="F14:S14"/>
    <mergeCell ref="F15:S15"/>
    <mergeCell ref="F16:S16"/>
    <mergeCell ref="F17:S17"/>
    <mergeCell ref="F18:S18"/>
    <mergeCell ref="D992:E992"/>
    <mergeCell ref="D993:E993"/>
    <mergeCell ref="D994:E994"/>
    <mergeCell ref="D995:E995"/>
    <mergeCell ref="D996:E996"/>
    <mergeCell ref="D987:E987"/>
    <mergeCell ref="D988:E988"/>
    <mergeCell ref="D989:E989"/>
    <mergeCell ref="D990:E990"/>
    <mergeCell ref="D991:E991"/>
    <mergeCell ref="D982:E982"/>
    <mergeCell ref="F39:S39"/>
    <mergeCell ref="F40:S40"/>
    <mergeCell ref="F41:S41"/>
    <mergeCell ref="F42:S42"/>
    <mergeCell ref="F43:S43"/>
    <mergeCell ref="D983:E983"/>
    <mergeCell ref="D984:E984"/>
    <mergeCell ref="D985:E985"/>
    <mergeCell ref="D986:E986"/>
    <mergeCell ref="D977:E977"/>
    <mergeCell ref="D978:E978"/>
    <mergeCell ref="D979:E979"/>
    <mergeCell ref="D980:E980"/>
    <mergeCell ref="D981:E981"/>
    <mergeCell ref="D972:E972"/>
    <mergeCell ref="D973:E973"/>
    <mergeCell ref="D974:E974"/>
    <mergeCell ref="D975:E975"/>
    <mergeCell ref="D976:E976"/>
    <mergeCell ref="D967:E967"/>
    <mergeCell ref="D968:E968"/>
    <mergeCell ref="D969:E969"/>
    <mergeCell ref="D970:E970"/>
    <mergeCell ref="D971:E971"/>
    <mergeCell ref="D962:E962"/>
    <mergeCell ref="D963:E963"/>
    <mergeCell ref="D964:E964"/>
    <mergeCell ref="D965:E965"/>
    <mergeCell ref="D966:E966"/>
    <mergeCell ref="D957:E957"/>
    <mergeCell ref="D958:E958"/>
    <mergeCell ref="D959:E959"/>
    <mergeCell ref="D960:E960"/>
    <mergeCell ref="D961:E961"/>
    <mergeCell ref="D952:E952"/>
    <mergeCell ref="D953:E953"/>
    <mergeCell ref="D954:E954"/>
    <mergeCell ref="D955:E955"/>
    <mergeCell ref="D956:E956"/>
    <mergeCell ref="D947:E947"/>
    <mergeCell ref="D948:E948"/>
    <mergeCell ref="D949:E949"/>
    <mergeCell ref="D950:E950"/>
    <mergeCell ref="D951:E951"/>
    <mergeCell ref="D942:E942"/>
    <mergeCell ref="D943:E943"/>
    <mergeCell ref="D944:E944"/>
    <mergeCell ref="D945:E945"/>
    <mergeCell ref="D946:E946"/>
    <mergeCell ref="D937:E937"/>
    <mergeCell ref="D938:E938"/>
    <mergeCell ref="D939:E939"/>
    <mergeCell ref="D940:E940"/>
    <mergeCell ref="D941:E941"/>
    <mergeCell ref="D932:E932"/>
    <mergeCell ref="D933:E933"/>
    <mergeCell ref="D934:E934"/>
    <mergeCell ref="D935:E935"/>
    <mergeCell ref="D936:E936"/>
    <mergeCell ref="D927:E927"/>
    <mergeCell ref="D928:E928"/>
    <mergeCell ref="D929:E929"/>
    <mergeCell ref="D930:E930"/>
    <mergeCell ref="D931:E931"/>
    <mergeCell ref="D922:E922"/>
    <mergeCell ref="D923:E923"/>
    <mergeCell ref="D924:E924"/>
    <mergeCell ref="D925:E925"/>
    <mergeCell ref="D926:E926"/>
    <mergeCell ref="D917:E917"/>
    <mergeCell ref="D918:E918"/>
    <mergeCell ref="D919:E919"/>
    <mergeCell ref="D920:E920"/>
    <mergeCell ref="D921:E921"/>
    <mergeCell ref="D912:E912"/>
    <mergeCell ref="D913:E913"/>
    <mergeCell ref="D914:E914"/>
    <mergeCell ref="D915:E915"/>
    <mergeCell ref="D916:E916"/>
    <mergeCell ref="D907:E907"/>
    <mergeCell ref="D908:E908"/>
    <mergeCell ref="D909:E909"/>
    <mergeCell ref="D910:E910"/>
    <mergeCell ref="D911:E911"/>
    <mergeCell ref="D902:E902"/>
    <mergeCell ref="D903:E903"/>
    <mergeCell ref="D904:E904"/>
    <mergeCell ref="D905:E905"/>
    <mergeCell ref="D906:E906"/>
    <mergeCell ref="D897:E897"/>
    <mergeCell ref="D898:E898"/>
    <mergeCell ref="D899:E899"/>
    <mergeCell ref="D900:E900"/>
    <mergeCell ref="D901:E901"/>
    <mergeCell ref="D892:E892"/>
    <mergeCell ref="D893:E893"/>
    <mergeCell ref="D894:E894"/>
    <mergeCell ref="D895:E895"/>
    <mergeCell ref="D896:E896"/>
    <mergeCell ref="D887:E887"/>
    <mergeCell ref="D888:E888"/>
    <mergeCell ref="D889:E889"/>
    <mergeCell ref="D890:E890"/>
    <mergeCell ref="D891:E891"/>
    <mergeCell ref="D882:E882"/>
    <mergeCell ref="D883:E883"/>
    <mergeCell ref="D884:E884"/>
    <mergeCell ref="D885:E885"/>
    <mergeCell ref="D886:E886"/>
    <mergeCell ref="D877:E877"/>
    <mergeCell ref="D878:E878"/>
    <mergeCell ref="D879:E879"/>
    <mergeCell ref="D880:E880"/>
    <mergeCell ref="D881:E881"/>
    <mergeCell ref="D872:E872"/>
    <mergeCell ref="D873:E873"/>
    <mergeCell ref="D874:E874"/>
    <mergeCell ref="D875:E875"/>
    <mergeCell ref="D876:E876"/>
    <mergeCell ref="D867:E867"/>
    <mergeCell ref="D868:E868"/>
    <mergeCell ref="D869:E869"/>
    <mergeCell ref="D870:E870"/>
    <mergeCell ref="D871:E871"/>
    <mergeCell ref="D862:E862"/>
    <mergeCell ref="D863:E863"/>
    <mergeCell ref="D864:E864"/>
    <mergeCell ref="D865:E865"/>
    <mergeCell ref="D866:E866"/>
    <mergeCell ref="D857:E857"/>
    <mergeCell ref="D858:E858"/>
    <mergeCell ref="D859:E859"/>
    <mergeCell ref="D860:E860"/>
    <mergeCell ref="D861:E861"/>
    <mergeCell ref="D852:E852"/>
    <mergeCell ref="D853:E853"/>
    <mergeCell ref="D854:E854"/>
    <mergeCell ref="D855:E855"/>
    <mergeCell ref="D856:E856"/>
    <mergeCell ref="D847:E847"/>
    <mergeCell ref="D848:E848"/>
    <mergeCell ref="D849:E849"/>
    <mergeCell ref="D850:E850"/>
    <mergeCell ref="D851:E851"/>
    <mergeCell ref="D842:E842"/>
    <mergeCell ref="D843:E843"/>
    <mergeCell ref="D844:E844"/>
    <mergeCell ref="D845:E845"/>
    <mergeCell ref="D846:E846"/>
    <mergeCell ref="D837:E837"/>
    <mergeCell ref="D838:E838"/>
    <mergeCell ref="D839:E839"/>
    <mergeCell ref="D840:E840"/>
    <mergeCell ref="D841:E841"/>
    <mergeCell ref="D832:E832"/>
    <mergeCell ref="D833:E833"/>
    <mergeCell ref="D834:E834"/>
    <mergeCell ref="D835:E835"/>
    <mergeCell ref="D836:E836"/>
    <mergeCell ref="D827:E827"/>
    <mergeCell ref="D828:E828"/>
    <mergeCell ref="D829:E829"/>
    <mergeCell ref="D830:E830"/>
    <mergeCell ref="D831:E831"/>
    <mergeCell ref="D822:E822"/>
    <mergeCell ref="D823:E823"/>
    <mergeCell ref="D824:E824"/>
    <mergeCell ref="D825:E825"/>
    <mergeCell ref="D826:E826"/>
    <mergeCell ref="D817:E817"/>
    <mergeCell ref="D818:E818"/>
    <mergeCell ref="D819:E819"/>
    <mergeCell ref="D820:E820"/>
    <mergeCell ref="D821:E821"/>
    <mergeCell ref="D812:E812"/>
    <mergeCell ref="D813:E813"/>
    <mergeCell ref="D814:E814"/>
    <mergeCell ref="D815:E815"/>
    <mergeCell ref="D816:E816"/>
    <mergeCell ref="D807:E807"/>
    <mergeCell ref="D808:E808"/>
    <mergeCell ref="D809:E809"/>
    <mergeCell ref="D810:E810"/>
    <mergeCell ref="D811:E811"/>
    <mergeCell ref="D802:E802"/>
    <mergeCell ref="D803:E803"/>
    <mergeCell ref="D804:E804"/>
    <mergeCell ref="D805:E805"/>
    <mergeCell ref="D806:E806"/>
    <mergeCell ref="D797:E797"/>
    <mergeCell ref="D798:E798"/>
    <mergeCell ref="D799:E799"/>
    <mergeCell ref="D800:E800"/>
    <mergeCell ref="D801:E801"/>
    <mergeCell ref="D792:E792"/>
    <mergeCell ref="D793:E793"/>
    <mergeCell ref="D794:E794"/>
    <mergeCell ref="D795:E795"/>
    <mergeCell ref="D796:E796"/>
    <mergeCell ref="D787:E787"/>
    <mergeCell ref="D788:E788"/>
    <mergeCell ref="D789:E789"/>
    <mergeCell ref="D790:E790"/>
    <mergeCell ref="D791:E791"/>
    <mergeCell ref="D782:E782"/>
    <mergeCell ref="D783:E783"/>
    <mergeCell ref="D784:E784"/>
    <mergeCell ref="D785:E785"/>
    <mergeCell ref="D786:E786"/>
    <mergeCell ref="D777:E777"/>
    <mergeCell ref="D778:E778"/>
    <mergeCell ref="D779:E779"/>
    <mergeCell ref="D780:E780"/>
    <mergeCell ref="D781:E781"/>
    <mergeCell ref="D772:E772"/>
    <mergeCell ref="D773:E773"/>
    <mergeCell ref="D774:E774"/>
    <mergeCell ref="D775:E775"/>
    <mergeCell ref="D776:E776"/>
    <mergeCell ref="D767:E767"/>
    <mergeCell ref="D768:E768"/>
    <mergeCell ref="D769:E769"/>
    <mergeCell ref="D770:E770"/>
    <mergeCell ref="D771:E771"/>
    <mergeCell ref="D762:E762"/>
    <mergeCell ref="D763:E763"/>
    <mergeCell ref="D764:E764"/>
    <mergeCell ref="D765:E765"/>
    <mergeCell ref="D766:E766"/>
    <mergeCell ref="D757:E757"/>
    <mergeCell ref="D758:E758"/>
    <mergeCell ref="D759:E759"/>
    <mergeCell ref="D760:E760"/>
    <mergeCell ref="D761:E761"/>
    <mergeCell ref="D752:E752"/>
    <mergeCell ref="D753:E753"/>
    <mergeCell ref="D754:E754"/>
    <mergeCell ref="D755:E755"/>
    <mergeCell ref="D756:E756"/>
    <mergeCell ref="D747:E747"/>
    <mergeCell ref="D748:E748"/>
    <mergeCell ref="D749:E749"/>
    <mergeCell ref="D750:E750"/>
    <mergeCell ref="D751:E751"/>
    <mergeCell ref="D742:E742"/>
    <mergeCell ref="D743:E743"/>
    <mergeCell ref="D744:E744"/>
    <mergeCell ref="D745:E745"/>
    <mergeCell ref="D746:E746"/>
    <mergeCell ref="D737:E737"/>
    <mergeCell ref="D738:E738"/>
    <mergeCell ref="D739:E739"/>
    <mergeCell ref="D740:E740"/>
    <mergeCell ref="D741:E741"/>
    <mergeCell ref="D732:E732"/>
    <mergeCell ref="D733:E733"/>
    <mergeCell ref="D734:E734"/>
    <mergeCell ref="D735:E735"/>
    <mergeCell ref="D736:E736"/>
    <mergeCell ref="D727:E727"/>
    <mergeCell ref="D728:E728"/>
    <mergeCell ref="D729:E729"/>
    <mergeCell ref="D730:E730"/>
    <mergeCell ref="D731:E731"/>
    <mergeCell ref="D722:E722"/>
    <mergeCell ref="D723:E723"/>
    <mergeCell ref="D724:E724"/>
    <mergeCell ref="D725:E725"/>
    <mergeCell ref="D726:E726"/>
    <mergeCell ref="D717:E717"/>
    <mergeCell ref="D718:E718"/>
    <mergeCell ref="D719:E719"/>
    <mergeCell ref="D720:E720"/>
    <mergeCell ref="D721:E721"/>
    <mergeCell ref="D712:E712"/>
    <mergeCell ref="D713:E713"/>
    <mergeCell ref="D714:E714"/>
    <mergeCell ref="D715:E715"/>
    <mergeCell ref="D716:E716"/>
    <mergeCell ref="D707:E707"/>
    <mergeCell ref="D708:E708"/>
    <mergeCell ref="D709:E709"/>
    <mergeCell ref="D710:E710"/>
    <mergeCell ref="D711:E711"/>
    <mergeCell ref="D702:E702"/>
    <mergeCell ref="D703:E703"/>
    <mergeCell ref="D704:E704"/>
    <mergeCell ref="D705:E705"/>
    <mergeCell ref="D706:E706"/>
    <mergeCell ref="D697:E697"/>
    <mergeCell ref="D698:E698"/>
    <mergeCell ref="D699:E699"/>
    <mergeCell ref="D700:E700"/>
    <mergeCell ref="D701:E701"/>
    <mergeCell ref="D692:E692"/>
    <mergeCell ref="D693:E693"/>
    <mergeCell ref="D694:E694"/>
    <mergeCell ref="D695:E695"/>
    <mergeCell ref="D696:E696"/>
    <mergeCell ref="D687:E687"/>
    <mergeCell ref="D688:E688"/>
    <mergeCell ref="D689:E689"/>
    <mergeCell ref="D690:E690"/>
    <mergeCell ref="D691:E691"/>
    <mergeCell ref="D682:E682"/>
    <mergeCell ref="D683:E683"/>
    <mergeCell ref="D684:E684"/>
    <mergeCell ref="D685:E685"/>
    <mergeCell ref="D686:E686"/>
    <mergeCell ref="D677:E677"/>
    <mergeCell ref="D678:E678"/>
    <mergeCell ref="D679:E679"/>
    <mergeCell ref="D680:E680"/>
    <mergeCell ref="D681:E681"/>
    <mergeCell ref="D672:E672"/>
    <mergeCell ref="D673:E673"/>
    <mergeCell ref="D674:E674"/>
    <mergeCell ref="D675:E675"/>
    <mergeCell ref="D676:E676"/>
    <mergeCell ref="D667:E667"/>
    <mergeCell ref="D668:E668"/>
    <mergeCell ref="D669:E669"/>
    <mergeCell ref="D670:E670"/>
    <mergeCell ref="D671:E671"/>
    <mergeCell ref="D662:E662"/>
    <mergeCell ref="D663:E663"/>
    <mergeCell ref="D664:E664"/>
    <mergeCell ref="D665:E665"/>
    <mergeCell ref="D666:E666"/>
    <mergeCell ref="D657:E657"/>
    <mergeCell ref="D658:E658"/>
    <mergeCell ref="D659:E659"/>
    <mergeCell ref="D660:E660"/>
    <mergeCell ref="D661:E661"/>
    <mergeCell ref="D652:E652"/>
    <mergeCell ref="D653:E653"/>
    <mergeCell ref="D654:E654"/>
    <mergeCell ref="D655:E655"/>
    <mergeCell ref="D656:E656"/>
    <mergeCell ref="D647:E647"/>
    <mergeCell ref="D648:E648"/>
    <mergeCell ref="D649:E649"/>
    <mergeCell ref="D650:E650"/>
    <mergeCell ref="D651:E651"/>
    <mergeCell ref="D642:E642"/>
    <mergeCell ref="D643:E643"/>
    <mergeCell ref="D644:E644"/>
    <mergeCell ref="D645:E645"/>
    <mergeCell ref="D646:E646"/>
    <mergeCell ref="D637:E637"/>
    <mergeCell ref="D638:E638"/>
    <mergeCell ref="D639:E639"/>
    <mergeCell ref="D640:E640"/>
    <mergeCell ref="D641:E641"/>
    <mergeCell ref="D632:E632"/>
    <mergeCell ref="D633:E633"/>
    <mergeCell ref="D634:E634"/>
    <mergeCell ref="D635:E635"/>
    <mergeCell ref="D636:E636"/>
    <mergeCell ref="D627:E627"/>
    <mergeCell ref="D628:E628"/>
    <mergeCell ref="D629:E629"/>
    <mergeCell ref="D630:E630"/>
    <mergeCell ref="D631:E631"/>
    <mergeCell ref="D622:E622"/>
    <mergeCell ref="D623:E623"/>
    <mergeCell ref="D624:E624"/>
    <mergeCell ref="D625:E625"/>
    <mergeCell ref="D626:E626"/>
    <mergeCell ref="D617:E617"/>
    <mergeCell ref="D618:E618"/>
    <mergeCell ref="D619:E619"/>
    <mergeCell ref="D620:E620"/>
    <mergeCell ref="D621:E621"/>
    <mergeCell ref="D612:E612"/>
    <mergeCell ref="D613:E613"/>
    <mergeCell ref="D614:E614"/>
    <mergeCell ref="D615:E615"/>
    <mergeCell ref="D616:E616"/>
    <mergeCell ref="D607:E607"/>
    <mergeCell ref="D608:E608"/>
    <mergeCell ref="D609:E609"/>
    <mergeCell ref="D610:E610"/>
    <mergeCell ref="D611:E611"/>
    <mergeCell ref="D602:E602"/>
    <mergeCell ref="D603:E603"/>
    <mergeCell ref="D604:E604"/>
    <mergeCell ref="D605:E605"/>
    <mergeCell ref="D606:E606"/>
    <mergeCell ref="D597:E597"/>
    <mergeCell ref="D598:E598"/>
    <mergeCell ref="D599:E599"/>
    <mergeCell ref="D600:E600"/>
    <mergeCell ref="D601:E601"/>
    <mergeCell ref="D592:E592"/>
    <mergeCell ref="D593:E593"/>
    <mergeCell ref="D594:E594"/>
    <mergeCell ref="D595:E595"/>
    <mergeCell ref="D596:E596"/>
    <mergeCell ref="D587:E587"/>
    <mergeCell ref="D588:E588"/>
    <mergeCell ref="D589:E589"/>
    <mergeCell ref="D590:E590"/>
    <mergeCell ref="D591:E591"/>
    <mergeCell ref="D582:E582"/>
    <mergeCell ref="D583:E583"/>
    <mergeCell ref="D584:E584"/>
    <mergeCell ref="D585:E585"/>
    <mergeCell ref="D586:E586"/>
    <mergeCell ref="D577:E577"/>
    <mergeCell ref="D578:E578"/>
    <mergeCell ref="D579:E579"/>
    <mergeCell ref="D580:E580"/>
    <mergeCell ref="D581:E581"/>
    <mergeCell ref="D572:E572"/>
    <mergeCell ref="D573:E573"/>
    <mergeCell ref="D574:E574"/>
    <mergeCell ref="D575:E575"/>
    <mergeCell ref="D576:E576"/>
    <mergeCell ref="D567:E567"/>
    <mergeCell ref="D568:E568"/>
    <mergeCell ref="D569:E569"/>
    <mergeCell ref="D570:E570"/>
    <mergeCell ref="D571:E571"/>
    <mergeCell ref="D562:E562"/>
    <mergeCell ref="D563:E563"/>
    <mergeCell ref="D564:E564"/>
    <mergeCell ref="D565:E565"/>
    <mergeCell ref="D566:E566"/>
    <mergeCell ref="D557:E557"/>
    <mergeCell ref="D558:E558"/>
    <mergeCell ref="D559:E559"/>
    <mergeCell ref="D560:E560"/>
    <mergeCell ref="D561:E561"/>
    <mergeCell ref="D552:E552"/>
    <mergeCell ref="D553:E553"/>
    <mergeCell ref="D554:E554"/>
    <mergeCell ref="D555:E555"/>
    <mergeCell ref="D556:E556"/>
    <mergeCell ref="D547:E547"/>
    <mergeCell ref="D548:E548"/>
    <mergeCell ref="D549:E549"/>
    <mergeCell ref="D550:E550"/>
    <mergeCell ref="D551:E551"/>
    <mergeCell ref="D542:E542"/>
    <mergeCell ref="D543:E543"/>
    <mergeCell ref="D544:E544"/>
    <mergeCell ref="D545:E545"/>
    <mergeCell ref="D546:E546"/>
    <mergeCell ref="D537:E537"/>
    <mergeCell ref="D538:E538"/>
    <mergeCell ref="D539:E539"/>
    <mergeCell ref="D540:E540"/>
    <mergeCell ref="D541:E541"/>
    <mergeCell ref="D532:E532"/>
    <mergeCell ref="D533:E533"/>
    <mergeCell ref="D534:E534"/>
    <mergeCell ref="D535:E535"/>
    <mergeCell ref="D536:E536"/>
    <mergeCell ref="D527:E527"/>
    <mergeCell ref="D528:E528"/>
    <mergeCell ref="D529:E529"/>
    <mergeCell ref="D530:E530"/>
    <mergeCell ref="D531:E531"/>
    <mergeCell ref="D522:E522"/>
    <mergeCell ref="D523:E523"/>
    <mergeCell ref="D524:E524"/>
    <mergeCell ref="D525:E525"/>
    <mergeCell ref="D526:E526"/>
    <mergeCell ref="D517:E517"/>
    <mergeCell ref="D518:E518"/>
    <mergeCell ref="D519:E519"/>
    <mergeCell ref="D520:E520"/>
    <mergeCell ref="D521:E521"/>
    <mergeCell ref="D512:E512"/>
    <mergeCell ref="D513:E513"/>
    <mergeCell ref="D514:E514"/>
    <mergeCell ref="D515:E515"/>
    <mergeCell ref="D516:E516"/>
    <mergeCell ref="D507:E507"/>
    <mergeCell ref="D508:E508"/>
    <mergeCell ref="D509:E509"/>
    <mergeCell ref="D510:E510"/>
    <mergeCell ref="D511:E511"/>
    <mergeCell ref="D502:E502"/>
    <mergeCell ref="D503:E503"/>
    <mergeCell ref="D504:E504"/>
    <mergeCell ref="D505:E505"/>
    <mergeCell ref="D506:E506"/>
    <mergeCell ref="D497:E497"/>
    <mergeCell ref="D498:E498"/>
    <mergeCell ref="D499:E499"/>
    <mergeCell ref="D500:E500"/>
    <mergeCell ref="D501:E501"/>
    <mergeCell ref="D492:E492"/>
    <mergeCell ref="D493:E493"/>
    <mergeCell ref="D494:E494"/>
    <mergeCell ref="D495:E495"/>
    <mergeCell ref="D496:E496"/>
    <mergeCell ref="D487:E487"/>
    <mergeCell ref="D488:E488"/>
    <mergeCell ref="D489:E489"/>
    <mergeCell ref="D490:E490"/>
    <mergeCell ref="D491:E491"/>
    <mergeCell ref="D482:E482"/>
    <mergeCell ref="D483:E483"/>
    <mergeCell ref="D484:E484"/>
    <mergeCell ref="D485:E485"/>
    <mergeCell ref="D486:E486"/>
    <mergeCell ref="D477:E477"/>
    <mergeCell ref="D478:E478"/>
    <mergeCell ref="D479:E479"/>
    <mergeCell ref="D480:E480"/>
    <mergeCell ref="D481:E481"/>
    <mergeCell ref="D472:E472"/>
    <mergeCell ref="D473:E473"/>
    <mergeCell ref="D474:E474"/>
    <mergeCell ref="D475:E475"/>
    <mergeCell ref="D476:E476"/>
    <mergeCell ref="D467:E467"/>
    <mergeCell ref="D468:E468"/>
    <mergeCell ref="D469:E469"/>
    <mergeCell ref="D470:E470"/>
    <mergeCell ref="D471:E471"/>
    <mergeCell ref="D462:E462"/>
    <mergeCell ref="D463:E463"/>
    <mergeCell ref="D464:E464"/>
    <mergeCell ref="D465:E465"/>
    <mergeCell ref="D466:E466"/>
    <mergeCell ref="D457:E457"/>
    <mergeCell ref="D458:E458"/>
    <mergeCell ref="D459:E459"/>
    <mergeCell ref="D460:E460"/>
    <mergeCell ref="D461:E461"/>
    <mergeCell ref="D452:E452"/>
    <mergeCell ref="D453:E453"/>
    <mergeCell ref="D454:E454"/>
    <mergeCell ref="D455:E455"/>
    <mergeCell ref="D456:E456"/>
    <mergeCell ref="D447:E447"/>
    <mergeCell ref="D448:E448"/>
    <mergeCell ref="D449:E449"/>
    <mergeCell ref="D450:E450"/>
    <mergeCell ref="D451:E451"/>
    <mergeCell ref="D442:E442"/>
    <mergeCell ref="D443:E443"/>
    <mergeCell ref="D444:E444"/>
    <mergeCell ref="D445:E445"/>
    <mergeCell ref="D446:E446"/>
    <mergeCell ref="D437:E437"/>
    <mergeCell ref="D438:E438"/>
    <mergeCell ref="D439:E439"/>
    <mergeCell ref="D440:E440"/>
    <mergeCell ref="D441:E441"/>
    <mergeCell ref="D432:E432"/>
    <mergeCell ref="D433:E433"/>
    <mergeCell ref="D434:E434"/>
    <mergeCell ref="D435:E435"/>
    <mergeCell ref="D436:E436"/>
    <mergeCell ref="D427:E427"/>
    <mergeCell ref="D428:E428"/>
    <mergeCell ref="D429:E429"/>
    <mergeCell ref="D430:E430"/>
    <mergeCell ref="D431:E431"/>
    <mergeCell ref="D422:E422"/>
    <mergeCell ref="D423:E423"/>
    <mergeCell ref="D424:E424"/>
    <mergeCell ref="D425:E425"/>
    <mergeCell ref="D426:E426"/>
    <mergeCell ref="D417:E417"/>
    <mergeCell ref="D418:E418"/>
    <mergeCell ref="D419:E419"/>
    <mergeCell ref="D420:E420"/>
    <mergeCell ref="D421:E421"/>
    <mergeCell ref="D412:E412"/>
    <mergeCell ref="D413:E413"/>
    <mergeCell ref="D414:E414"/>
    <mergeCell ref="D415:E415"/>
    <mergeCell ref="D416:E416"/>
    <mergeCell ref="D407:E407"/>
    <mergeCell ref="D408:E408"/>
    <mergeCell ref="D409:E409"/>
    <mergeCell ref="D410:E410"/>
    <mergeCell ref="D411:E411"/>
    <mergeCell ref="D402:E402"/>
    <mergeCell ref="D403:E403"/>
    <mergeCell ref="D404:E404"/>
    <mergeCell ref="D405:E405"/>
    <mergeCell ref="D406:E406"/>
    <mergeCell ref="D397:E397"/>
    <mergeCell ref="D398:E398"/>
    <mergeCell ref="D399:E399"/>
    <mergeCell ref="D400:E400"/>
    <mergeCell ref="D401:E401"/>
    <mergeCell ref="D392:E392"/>
    <mergeCell ref="D393:E393"/>
    <mergeCell ref="D394:E394"/>
    <mergeCell ref="D395:E395"/>
    <mergeCell ref="D396:E396"/>
    <mergeCell ref="D387:E387"/>
    <mergeCell ref="D388:E388"/>
    <mergeCell ref="D389:E389"/>
    <mergeCell ref="D390:E390"/>
    <mergeCell ref="D391:E391"/>
    <mergeCell ref="D382:E382"/>
    <mergeCell ref="D383:E383"/>
    <mergeCell ref="D384:E384"/>
    <mergeCell ref="D385:E385"/>
    <mergeCell ref="D386:E386"/>
    <mergeCell ref="D377:E377"/>
    <mergeCell ref="D378:E378"/>
    <mergeCell ref="D379:E379"/>
    <mergeCell ref="D380:E380"/>
    <mergeCell ref="D381:E381"/>
    <mergeCell ref="D372:E372"/>
    <mergeCell ref="D373:E373"/>
    <mergeCell ref="D374:E374"/>
    <mergeCell ref="D375:E375"/>
    <mergeCell ref="D376:E376"/>
    <mergeCell ref="D367:E367"/>
    <mergeCell ref="D368:E368"/>
    <mergeCell ref="D369:E369"/>
    <mergeCell ref="D370:E370"/>
    <mergeCell ref="D371:E371"/>
    <mergeCell ref="D362:E362"/>
    <mergeCell ref="D363:E363"/>
    <mergeCell ref="D364:E364"/>
    <mergeCell ref="D365:E365"/>
    <mergeCell ref="D366:E366"/>
    <mergeCell ref="D357:E357"/>
    <mergeCell ref="D358:E358"/>
    <mergeCell ref="D359:E359"/>
    <mergeCell ref="D360:E360"/>
    <mergeCell ref="D361:E361"/>
    <mergeCell ref="D352:E352"/>
    <mergeCell ref="D353:E353"/>
    <mergeCell ref="D354:E354"/>
    <mergeCell ref="D355:E355"/>
    <mergeCell ref="D356:E356"/>
    <mergeCell ref="D347:E347"/>
    <mergeCell ref="D348:E348"/>
    <mergeCell ref="D349:E349"/>
    <mergeCell ref="D350:E350"/>
    <mergeCell ref="D351:E351"/>
    <mergeCell ref="D342:E342"/>
    <mergeCell ref="D343:E343"/>
    <mergeCell ref="D344:E344"/>
    <mergeCell ref="D345:E345"/>
    <mergeCell ref="D346:E346"/>
    <mergeCell ref="D337:E337"/>
    <mergeCell ref="D338:E338"/>
    <mergeCell ref="D339:E339"/>
    <mergeCell ref="D340:E340"/>
    <mergeCell ref="D341:E341"/>
    <mergeCell ref="D332:E332"/>
    <mergeCell ref="D333:E333"/>
    <mergeCell ref="D334:E334"/>
    <mergeCell ref="D335:E335"/>
    <mergeCell ref="D336:E336"/>
    <mergeCell ref="D327:E327"/>
    <mergeCell ref="D328:E328"/>
    <mergeCell ref="D329:E329"/>
    <mergeCell ref="D330:E330"/>
    <mergeCell ref="D331:E331"/>
    <mergeCell ref="D322:E322"/>
    <mergeCell ref="D323:E323"/>
    <mergeCell ref="D324:E324"/>
    <mergeCell ref="D325:E325"/>
    <mergeCell ref="D326:E326"/>
    <mergeCell ref="D317:E317"/>
    <mergeCell ref="D318:E318"/>
    <mergeCell ref="D319:E319"/>
    <mergeCell ref="D320:E320"/>
    <mergeCell ref="D321:E321"/>
    <mergeCell ref="D312:E312"/>
    <mergeCell ref="D313:E313"/>
    <mergeCell ref="D314:E314"/>
    <mergeCell ref="D315:E315"/>
    <mergeCell ref="D316:E316"/>
    <mergeCell ref="D307:E307"/>
    <mergeCell ref="D308:E308"/>
    <mergeCell ref="D309:E309"/>
    <mergeCell ref="D310:E310"/>
    <mergeCell ref="D311:E311"/>
    <mergeCell ref="D302:E302"/>
    <mergeCell ref="D303:E303"/>
    <mergeCell ref="D304:E304"/>
    <mergeCell ref="D305:E305"/>
    <mergeCell ref="D306:E306"/>
    <mergeCell ref="D297:E297"/>
    <mergeCell ref="D298:E298"/>
    <mergeCell ref="D299:E299"/>
    <mergeCell ref="D300:E300"/>
    <mergeCell ref="D301:E301"/>
    <mergeCell ref="D292:E292"/>
    <mergeCell ref="D293:E293"/>
    <mergeCell ref="D294:E294"/>
    <mergeCell ref="D295:E295"/>
    <mergeCell ref="D296:E296"/>
    <mergeCell ref="D287:E287"/>
    <mergeCell ref="D288:E288"/>
    <mergeCell ref="D289:E289"/>
    <mergeCell ref="D290:E290"/>
    <mergeCell ref="D291:E291"/>
    <mergeCell ref="D282:E282"/>
    <mergeCell ref="D283:E283"/>
    <mergeCell ref="D284:E284"/>
    <mergeCell ref="D285:E285"/>
    <mergeCell ref="D286:E286"/>
    <mergeCell ref="D277:E277"/>
    <mergeCell ref="D278:E278"/>
    <mergeCell ref="D279:E279"/>
    <mergeCell ref="D280:E280"/>
    <mergeCell ref="D281:E281"/>
    <mergeCell ref="D272:E272"/>
    <mergeCell ref="D273:E273"/>
    <mergeCell ref="D274:E274"/>
    <mergeCell ref="D275:E275"/>
    <mergeCell ref="D276:E276"/>
    <mergeCell ref="D267:E267"/>
    <mergeCell ref="D268:E268"/>
    <mergeCell ref="D269:E269"/>
    <mergeCell ref="D270:E270"/>
    <mergeCell ref="D271:E271"/>
    <mergeCell ref="D262:E262"/>
    <mergeCell ref="D263:E263"/>
    <mergeCell ref="D264:E264"/>
    <mergeCell ref="D265:E265"/>
    <mergeCell ref="D266:E266"/>
    <mergeCell ref="D257:E257"/>
    <mergeCell ref="D258:E258"/>
    <mergeCell ref="D259:E259"/>
    <mergeCell ref="D260:E260"/>
    <mergeCell ref="D261:E261"/>
    <mergeCell ref="D252:E252"/>
    <mergeCell ref="D253:E253"/>
    <mergeCell ref="D254:E254"/>
    <mergeCell ref="D255:E255"/>
    <mergeCell ref="D256:E256"/>
    <mergeCell ref="D247:E247"/>
    <mergeCell ref="D248:E248"/>
    <mergeCell ref="D249:E249"/>
    <mergeCell ref="D250:E250"/>
    <mergeCell ref="D251:E251"/>
    <mergeCell ref="D242:E242"/>
    <mergeCell ref="D243:E243"/>
    <mergeCell ref="D244:E244"/>
    <mergeCell ref="D245:E245"/>
    <mergeCell ref="D246:E246"/>
    <mergeCell ref="D237:E237"/>
    <mergeCell ref="D238:E238"/>
    <mergeCell ref="D239:E239"/>
    <mergeCell ref="D240:E240"/>
    <mergeCell ref="D241:E241"/>
    <mergeCell ref="D232:E232"/>
    <mergeCell ref="D233:E233"/>
    <mergeCell ref="D234:E234"/>
    <mergeCell ref="D235:E235"/>
    <mergeCell ref="D236:E236"/>
    <mergeCell ref="D227:E227"/>
    <mergeCell ref="D228:E228"/>
    <mergeCell ref="D229:E229"/>
    <mergeCell ref="D230:E230"/>
    <mergeCell ref="D231:E231"/>
    <mergeCell ref="D222:E222"/>
    <mergeCell ref="D223:E223"/>
    <mergeCell ref="D224:E224"/>
    <mergeCell ref="D225:E225"/>
    <mergeCell ref="D226:E226"/>
    <mergeCell ref="D217:E217"/>
    <mergeCell ref="D218:E218"/>
    <mergeCell ref="D219:E219"/>
    <mergeCell ref="D220:E220"/>
    <mergeCell ref="D221:E221"/>
    <mergeCell ref="D212:E212"/>
    <mergeCell ref="D213:E213"/>
    <mergeCell ref="D214:E214"/>
    <mergeCell ref="D215:E215"/>
    <mergeCell ref="D216:E216"/>
    <mergeCell ref="D207:E207"/>
    <mergeCell ref="D208:E208"/>
    <mergeCell ref="D209:E209"/>
    <mergeCell ref="D210:E210"/>
    <mergeCell ref="D211:E211"/>
    <mergeCell ref="D202:E202"/>
    <mergeCell ref="D203:E203"/>
    <mergeCell ref="D204:E204"/>
    <mergeCell ref="D205:E205"/>
    <mergeCell ref="D206:E206"/>
    <mergeCell ref="D197:E197"/>
    <mergeCell ref="D198:E198"/>
    <mergeCell ref="D199:E199"/>
    <mergeCell ref="D200:E200"/>
    <mergeCell ref="D201:E201"/>
    <mergeCell ref="D192:E192"/>
    <mergeCell ref="D193:E193"/>
    <mergeCell ref="D194:E194"/>
    <mergeCell ref="D195:E195"/>
    <mergeCell ref="D196:E196"/>
    <mergeCell ref="D187:E187"/>
    <mergeCell ref="D188:E188"/>
    <mergeCell ref="D189:E189"/>
    <mergeCell ref="D190:E190"/>
    <mergeCell ref="D191:E191"/>
    <mergeCell ref="D182:E182"/>
    <mergeCell ref="D183:E183"/>
    <mergeCell ref="D184:E184"/>
    <mergeCell ref="D185:E185"/>
    <mergeCell ref="D186:E186"/>
    <mergeCell ref="D177:E177"/>
    <mergeCell ref="D178:E178"/>
    <mergeCell ref="D179:E179"/>
    <mergeCell ref="D180:E180"/>
    <mergeCell ref="D181:E181"/>
    <mergeCell ref="D172:E172"/>
    <mergeCell ref="D173:E173"/>
    <mergeCell ref="D174:E174"/>
    <mergeCell ref="D175:E175"/>
    <mergeCell ref="D176:E176"/>
    <mergeCell ref="D167:E167"/>
    <mergeCell ref="D168:E168"/>
    <mergeCell ref="D169:E169"/>
    <mergeCell ref="D170:E170"/>
    <mergeCell ref="D171:E171"/>
    <mergeCell ref="D162:E162"/>
    <mergeCell ref="D163:E163"/>
    <mergeCell ref="D164:E164"/>
    <mergeCell ref="D165:E165"/>
    <mergeCell ref="D166:E166"/>
    <mergeCell ref="D157:E157"/>
    <mergeCell ref="D158:E158"/>
    <mergeCell ref="D159:E159"/>
    <mergeCell ref="D160:E160"/>
    <mergeCell ref="D161:E161"/>
    <mergeCell ref="D152:E152"/>
    <mergeCell ref="D153:E153"/>
    <mergeCell ref="D154:E154"/>
    <mergeCell ref="D155:E155"/>
    <mergeCell ref="D156:E156"/>
    <mergeCell ref="D147:E147"/>
    <mergeCell ref="D148:E148"/>
    <mergeCell ref="D149:E149"/>
    <mergeCell ref="D150:E150"/>
    <mergeCell ref="D151:E151"/>
    <mergeCell ref="D142:E142"/>
    <mergeCell ref="D143:E143"/>
    <mergeCell ref="D144:E144"/>
    <mergeCell ref="D145:E145"/>
    <mergeCell ref="D146:E146"/>
    <mergeCell ref="D137:E137"/>
    <mergeCell ref="D138:E138"/>
    <mergeCell ref="D139:E139"/>
    <mergeCell ref="D140:E140"/>
    <mergeCell ref="D141:E141"/>
    <mergeCell ref="D132:E132"/>
    <mergeCell ref="D133:E133"/>
    <mergeCell ref="D134:E134"/>
    <mergeCell ref="D135:E135"/>
    <mergeCell ref="D136:E136"/>
    <mergeCell ref="D127:E127"/>
    <mergeCell ref="D128:E128"/>
    <mergeCell ref="D129:E129"/>
    <mergeCell ref="D130:E130"/>
    <mergeCell ref="D131:E131"/>
    <mergeCell ref="D122:E122"/>
    <mergeCell ref="D123:E123"/>
    <mergeCell ref="D124:E124"/>
    <mergeCell ref="D125:E125"/>
    <mergeCell ref="D126:E12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D52:E52"/>
    <mergeCell ref="D53:E53"/>
    <mergeCell ref="D54:E54"/>
    <mergeCell ref="D55:E55"/>
    <mergeCell ref="D56:E56"/>
    <mergeCell ref="D47:E47"/>
    <mergeCell ref="D48:E48"/>
    <mergeCell ref="D49:E49"/>
    <mergeCell ref="D50:E50"/>
    <mergeCell ref="D51:E51"/>
    <mergeCell ref="F19:S19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F20:S20"/>
    <mergeCell ref="F21:S21"/>
    <mergeCell ref="F22:S22"/>
    <mergeCell ref="F23:S23"/>
    <mergeCell ref="F34:S34"/>
    <mergeCell ref="F35:S35"/>
    <mergeCell ref="F36:S36"/>
    <mergeCell ref="F37:S37"/>
    <mergeCell ref="F38:S38"/>
    <mergeCell ref="F29:S29"/>
    <mergeCell ref="F30:S30"/>
    <mergeCell ref="AL6:AN6"/>
    <mergeCell ref="C1:D1"/>
    <mergeCell ref="X1:AQ4"/>
    <mergeCell ref="D2:S4"/>
    <mergeCell ref="D5:E5"/>
    <mergeCell ref="D6:E6"/>
    <mergeCell ref="T5:U5"/>
    <mergeCell ref="T6:U6"/>
    <mergeCell ref="X5:AD5"/>
    <mergeCell ref="X6:AD6"/>
    <mergeCell ref="AH5:AK5"/>
    <mergeCell ref="AH6:AK6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</mergeCells>
  <conditionalFormatting sqref="AQ6:AQ998">
    <cfRule type="cellIs" dxfId="5" priority="9" operator="equal">
      <formula>0</formula>
    </cfRule>
    <cfRule type="cellIs" dxfId="4" priority="10" operator="lessThan">
      <formula>0</formula>
    </cfRule>
    <cfRule type="cellIs" dxfId="3" priority="11" operator="greaterThan">
      <formula>0</formula>
    </cfRule>
  </conditionalFormatting>
  <conditionalFormatting sqref="AR6:AR998">
    <cfRule type="expression" dxfId="2" priority="4">
      <formula>$AR6-$AP6&gt;0</formula>
    </cfRule>
  </conditionalFormatting>
  <conditionalFormatting sqref="AU6:AV998">
    <cfRule type="cellIs" dxfId="1" priority="1" operator="equal">
      <formula>"Yes"</formula>
    </cfRule>
    <cfRule type="containsText" dxfId="0" priority="3" operator="containsText" text="No">
      <formula>NOT(ISERROR(SEARCH("No",AU6)))</formula>
    </cfRule>
  </conditionalFormatting>
  <pageMargins left="0.25" right="0.25" top="0.75" bottom="0.75" header="0.3" footer="0.3"/>
  <pageSetup paperSize="3" scale="3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9B600E-15B7-424A-B0DC-B1E5A278E813}">
          <x14:formula1>
            <xm:f>_xlfn.ANCHORARRAY(AML!$D$2)</xm:f>
          </x14:formula1>
          <xm:sqref>C6:C998</xm:sqref>
        </x14:dataValidation>
        <x14:dataValidation type="list" allowBlank="1" showInputMessage="1" showErrorMessage="1" xr:uid="{48C44581-8DD4-44CC-A947-EDCB66D47880}">
          <x14:formula1>
            <xm:f>_xlfn.ANCHORARRAY(AML!$E$2)</xm:f>
          </x14:formula1>
          <xm:sqref>X6:AD998</xm:sqref>
        </x14:dataValidation>
        <x14:dataValidation type="list" allowBlank="1" showInputMessage="1" showErrorMessage="1" xr:uid="{394487E9-EA01-4299-9393-5E25C64D0BC8}">
          <x14:formula1>
            <xm:f>AML!$G$2:$G$4</xm:f>
          </x14:formula1>
          <xm:sqref>AV167:AV170 AU6:AV165</xm:sqref>
        </x14:dataValidation>
        <x14:dataValidation type="list" allowBlank="1" showInputMessage="1" xr:uid="{636A34ED-CE93-48DE-AFB2-89ACDC811B80}">
          <x14:formula1>
            <xm:f>AML!$I$2:$I$139</xm:f>
          </x14:formula1>
          <xm:sqref>F6:S998</xm:sqref>
        </x14:dataValidation>
        <x14:dataValidation type="list" allowBlank="1" showInputMessage="1" xr:uid="{3D5CFFC9-D3EC-429E-A512-3B545A7A6DCF}">
          <x14:formula1>
            <xm:f>AML!$J$2:$J$23</xm:f>
          </x14:formula1>
          <xm:sqref>AL6:AN998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8807-FA01-4095-9D90-46B81CF87235}">
  <sheetPr codeName="Sheet3"/>
  <dimension ref="A1:J309"/>
  <sheetViews>
    <sheetView topLeftCell="A201" workbookViewId="0">
      <selection activeCell="C107" sqref="C107"/>
    </sheetView>
  </sheetViews>
  <sheetFormatPr defaultRowHeight="15" x14ac:dyDescent="0.25"/>
  <cols>
    <col min="1" max="2" width="50.7109375" customWidth="1"/>
    <col min="4" max="5" width="50.7109375" customWidth="1"/>
    <col min="9" max="9" width="35" bestFit="1" customWidth="1"/>
    <col min="10" max="10" width="22.42578125" bestFit="1" customWidth="1"/>
  </cols>
  <sheetData>
    <row r="1" spans="1:10" s="8" customFormat="1" x14ac:dyDescent="0.25">
      <c r="A1" s="7" t="s">
        <v>625</v>
      </c>
      <c r="B1" s="7" t="s">
        <v>21</v>
      </c>
      <c r="D1" s="8" t="s">
        <v>626</v>
      </c>
      <c r="E1" s="8" t="s">
        <v>627</v>
      </c>
      <c r="G1" s="8" t="s">
        <v>628</v>
      </c>
      <c r="I1" s="79" t="s">
        <v>632</v>
      </c>
      <c r="J1" t="s">
        <v>771</v>
      </c>
    </row>
    <row r="2" spans="1:10" ht="16.5" customHeight="1" x14ac:dyDescent="0.25">
      <c r="A2" s="6" t="s">
        <v>346</v>
      </c>
      <c r="B2" s="6" t="s">
        <v>347</v>
      </c>
      <c r="D2" t="str" cm="1">
        <f t="array" ref="D2:D78">_xlfn._xlws.SORT(_xlfn.UNIQUE(Product))</f>
        <v>Anodeless Risers</v>
      </c>
      <c r="E2" t="str" cm="1">
        <f t="array" ref="E2:E204">_xlfn._xlws.SORT(_xlfn.UNIQUE(Manufacturer))</f>
        <v>3M</v>
      </c>
      <c r="G2" t="s">
        <v>629</v>
      </c>
      <c r="I2" t="s">
        <v>633</v>
      </c>
      <c r="J2" t="s">
        <v>772</v>
      </c>
    </row>
    <row r="3" spans="1:10" ht="16.5" customHeight="1" x14ac:dyDescent="0.25">
      <c r="A3" s="5" t="s">
        <v>346</v>
      </c>
      <c r="B3" s="5" t="s">
        <v>348</v>
      </c>
      <c r="D3" t="str">
        <v>Anodes</v>
      </c>
      <c r="E3" t="str">
        <v>A. Y. McDonald</v>
      </c>
      <c r="G3" t="s">
        <v>630</v>
      </c>
      <c r="I3" t="s">
        <v>634</v>
      </c>
      <c r="J3" t="s">
        <v>773</v>
      </c>
    </row>
    <row r="4" spans="1:10" ht="16.5" customHeight="1" x14ac:dyDescent="0.25">
      <c r="A4" s="5" t="s">
        <v>346</v>
      </c>
      <c r="B4" s="5" t="s">
        <v>349</v>
      </c>
      <c r="D4" t="str">
        <v>Ball Valves - Steel</v>
      </c>
      <c r="E4" t="str">
        <v>Advance Engineering Corporation (Hubbell)</v>
      </c>
      <c r="G4" t="s">
        <v>631</v>
      </c>
      <c r="I4" t="s">
        <v>635</v>
      </c>
      <c r="J4" t="s">
        <v>774</v>
      </c>
    </row>
    <row r="5" spans="1:10" ht="16.5" customHeight="1" x14ac:dyDescent="0.25">
      <c r="A5" s="5" t="s">
        <v>346</v>
      </c>
      <c r="B5" s="5" t="s">
        <v>350</v>
      </c>
      <c r="D5" t="str">
        <v>Butt Fusion</v>
      </c>
      <c r="E5" t="str">
        <v>Advance Products &amp; Systems</v>
      </c>
      <c r="I5" t="s">
        <v>636</v>
      </c>
      <c r="J5" t="s">
        <v>775</v>
      </c>
    </row>
    <row r="6" spans="1:10" ht="16.5" customHeight="1" x14ac:dyDescent="0.25">
      <c r="A6" s="5" t="s">
        <v>351</v>
      </c>
      <c r="B6" s="5" t="s">
        <v>352</v>
      </c>
      <c r="D6" t="str">
        <v>Carbon Steel Flanges</v>
      </c>
      <c r="E6" t="str">
        <v>AkzoNobel</v>
      </c>
      <c r="I6" t="s">
        <v>637</v>
      </c>
      <c r="J6" t="s">
        <v>776</v>
      </c>
    </row>
    <row r="7" spans="1:10" ht="16.5" customHeight="1" x14ac:dyDescent="0.25">
      <c r="A7" s="5" t="s">
        <v>351</v>
      </c>
      <c r="B7" s="5" t="s">
        <v>353</v>
      </c>
      <c r="D7" t="str">
        <v>Casing Seals</v>
      </c>
      <c r="E7" t="str">
        <v>Allan Edwards</v>
      </c>
      <c r="I7" t="s">
        <v>638</v>
      </c>
      <c r="J7" t="s">
        <v>777</v>
      </c>
    </row>
    <row r="8" spans="1:10" ht="16.5" customHeight="1" x14ac:dyDescent="0.25">
      <c r="A8" s="5" t="s">
        <v>351</v>
      </c>
      <c r="B8" s="5" t="s">
        <v>354</v>
      </c>
      <c r="D8" t="str">
        <v>Cast Iron-Bell Joint</v>
      </c>
      <c r="E8" t="str">
        <v>Allied Corrosion</v>
      </c>
      <c r="I8" t="s">
        <v>639</v>
      </c>
      <c r="J8" t="s">
        <v>778</v>
      </c>
    </row>
    <row r="9" spans="1:10" ht="16.5" customHeight="1" x14ac:dyDescent="0.25">
      <c r="A9" s="5" t="s">
        <v>351</v>
      </c>
      <c r="B9" s="5" t="s">
        <v>355</v>
      </c>
      <c r="D9" t="str">
        <v>Check Valves</v>
      </c>
      <c r="E9" t="str">
        <v>Allied Fitting (Allied Group)</v>
      </c>
      <c r="I9" t="s">
        <v>640</v>
      </c>
      <c r="J9" t="s">
        <v>779</v>
      </c>
    </row>
    <row r="10" spans="1:10" ht="16.5" customHeight="1" x14ac:dyDescent="0.25">
      <c r="A10" s="5" t="s">
        <v>351</v>
      </c>
      <c r="B10" s="5" t="s">
        <v>356</v>
      </c>
      <c r="D10" t="str">
        <v>Chromatograph</v>
      </c>
      <c r="E10" t="str">
        <v>Alloy Products Distribution</v>
      </c>
      <c r="I10" t="s">
        <v>641</v>
      </c>
      <c r="J10" t="s">
        <v>780</v>
      </c>
    </row>
    <row r="11" spans="1:10" ht="16.5" customHeight="1" x14ac:dyDescent="0.25">
      <c r="A11" s="5" t="s">
        <v>351</v>
      </c>
      <c r="B11" s="5" t="s">
        <v>357</v>
      </c>
      <c r="D11" t="str">
        <v>Closures - Pipe Door</v>
      </c>
      <c r="E11" t="str">
        <v>American BOA</v>
      </c>
      <c r="I11" t="s">
        <v>642</v>
      </c>
      <c r="J11" t="s">
        <v>781</v>
      </c>
    </row>
    <row r="12" spans="1:10" ht="16.5" customHeight="1" x14ac:dyDescent="0.25">
      <c r="A12" s="5" t="s">
        <v>351</v>
      </c>
      <c r="B12" s="5" t="s">
        <v>358</v>
      </c>
      <c r="D12" t="str">
        <v>Closures - Threaded</v>
      </c>
      <c r="E12" t="str">
        <v>American Meter (Honeywell)</v>
      </c>
      <c r="I12" t="s">
        <v>643</v>
      </c>
      <c r="J12" t="s">
        <v>782</v>
      </c>
    </row>
    <row r="13" spans="1:10" ht="16.5" customHeight="1" x14ac:dyDescent="0.25">
      <c r="A13" s="5" t="s">
        <v>351</v>
      </c>
      <c r="B13" s="5" t="s">
        <v>359</v>
      </c>
      <c r="D13" t="str">
        <v>Cold Shrink Sleeve</v>
      </c>
      <c r="E13" t="str">
        <v>American Steel</v>
      </c>
      <c r="I13" t="s">
        <v>644</v>
      </c>
      <c r="J13" t="s">
        <v>783</v>
      </c>
    </row>
    <row r="14" spans="1:10" ht="16.5" customHeight="1" x14ac:dyDescent="0.25">
      <c r="A14" s="5" t="s">
        <v>351</v>
      </c>
      <c r="B14" s="5" t="s">
        <v>360</v>
      </c>
      <c r="D14" t="str">
        <v>Composite Wraps</v>
      </c>
      <c r="E14" t="str">
        <v>Ampro</v>
      </c>
      <c r="I14" t="s">
        <v>645</v>
      </c>
      <c r="J14" t="s">
        <v>784</v>
      </c>
    </row>
    <row r="15" spans="1:10" ht="16.5" customHeight="1" x14ac:dyDescent="0.25">
      <c r="A15" s="5" t="s">
        <v>351</v>
      </c>
      <c r="B15" s="5"/>
      <c r="D15" t="str">
        <v>Compression Tape</v>
      </c>
      <c r="E15" t="str">
        <v>Anderson Greenwood</v>
      </c>
      <c r="I15" t="s">
        <v>646</v>
      </c>
      <c r="J15" t="s">
        <v>785</v>
      </c>
    </row>
    <row r="16" spans="1:10" ht="16.5" customHeight="1" x14ac:dyDescent="0.25">
      <c r="A16" s="5" t="s">
        <v>351</v>
      </c>
      <c r="B16" s="5" t="s">
        <v>361</v>
      </c>
      <c r="D16" t="str">
        <v>Diaphragm Meters</v>
      </c>
      <c r="E16" t="str">
        <v>Anvil (ASC Engineered Solutions)</v>
      </c>
      <c r="I16" t="s">
        <v>647</v>
      </c>
      <c r="J16" t="s">
        <v>786</v>
      </c>
    </row>
    <row r="17" spans="1:10" ht="16.5" customHeight="1" x14ac:dyDescent="0.25">
      <c r="A17" s="5" t="s">
        <v>351</v>
      </c>
      <c r="B17" s="5" t="s">
        <v>362</v>
      </c>
      <c r="D17" t="str">
        <v>Dry Gas Filter</v>
      </c>
      <c r="E17" t="str">
        <v>AOSafety</v>
      </c>
      <c r="I17" t="s">
        <v>648</v>
      </c>
      <c r="J17" t="s">
        <v>787</v>
      </c>
    </row>
    <row r="18" spans="1:10" ht="16.5" customHeight="1" x14ac:dyDescent="0.25">
      <c r="A18" s="5" t="s">
        <v>351</v>
      </c>
      <c r="B18" s="5" t="s">
        <v>363</v>
      </c>
      <c r="D18" t="str">
        <v>Electrofusion</v>
      </c>
      <c r="E18" t="str">
        <v>Apollo Products</v>
      </c>
      <c r="I18" t="s">
        <v>649</v>
      </c>
      <c r="J18" t="s">
        <v>788</v>
      </c>
    </row>
    <row r="19" spans="1:10" ht="16.5" customHeight="1" x14ac:dyDescent="0.25">
      <c r="A19" s="5" t="s">
        <v>351</v>
      </c>
      <c r="B19" s="5" t="s">
        <v>364</v>
      </c>
      <c r="D19" t="str">
        <v>Electrofusion Processors</v>
      </c>
      <c r="E19" t="str">
        <v>Applied Automation Controls Inc.</v>
      </c>
      <c r="I19" t="s">
        <v>650</v>
      </c>
      <c r="J19" t="s">
        <v>80</v>
      </c>
    </row>
    <row r="20" spans="1:10" ht="16.5" customHeight="1" x14ac:dyDescent="0.25">
      <c r="A20" s="5" t="s">
        <v>351</v>
      </c>
      <c r="B20" s="5" t="s">
        <v>365</v>
      </c>
      <c r="D20" t="str">
        <v>Excess Flow Valves</v>
      </c>
      <c r="E20" t="str">
        <v>Armorcast</v>
      </c>
      <c r="I20" t="s">
        <v>651</v>
      </c>
      <c r="J20" t="s">
        <v>789</v>
      </c>
    </row>
    <row r="21" spans="1:10" ht="16.5" customHeight="1" x14ac:dyDescent="0.25">
      <c r="A21" s="5" t="s">
        <v>351</v>
      </c>
      <c r="B21" s="5" t="s">
        <v>366</v>
      </c>
      <c r="D21" t="str">
        <v>Eye Protection</v>
      </c>
      <c r="E21" t="str">
        <v>Ashcroft</v>
      </c>
      <c r="I21" t="s">
        <v>652</v>
      </c>
      <c r="J21" t="s">
        <v>790</v>
      </c>
    </row>
    <row r="22" spans="1:10" ht="16.5" customHeight="1" x14ac:dyDescent="0.25">
      <c r="A22" s="5" t="s">
        <v>367</v>
      </c>
      <c r="B22" s="5" t="s">
        <v>368</v>
      </c>
      <c r="D22" t="str">
        <v>Fasteners</v>
      </c>
      <c r="E22" t="str">
        <v>Axalta</v>
      </c>
      <c r="I22" t="s">
        <v>653</v>
      </c>
      <c r="J22" t="s">
        <v>791</v>
      </c>
    </row>
    <row r="23" spans="1:10" ht="16.5" customHeight="1" x14ac:dyDescent="0.25">
      <c r="A23" s="5" t="s">
        <v>367</v>
      </c>
      <c r="B23" s="5" t="s">
        <v>369</v>
      </c>
      <c r="D23" t="str">
        <v>Filters &amp; Separators</v>
      </c>
      <c r="E23" t="str">
        <v>Balon</v>
      </c>
      <c r="I23" t="s">
        <v>654</v>
      </c>
      <c r="J23" t="s">
        <v>792</v>
      </c>
    </row>
    <row r="24" spans="1:10" ht="16.5" customHeight="1" x14ac:dyDescent="0.25">
      <c r="A24" s="5" t="s">
        <v>370</v>
      </c>
      <c r="B24" s="5" t="s">
        <v>371</v>
      </c>
      <c r="D24" t="str">
        <v>Flange Gaskets</v>
      </c>
      <c r="E24" t="str">
        <v>Belgas</v>
      </c>
      <c r="I24" t="s">
        <v>655</v>
      </c>
    </row>
    <row r="25" spans="1:10" ht="16.5" customHeight="1" x14ac:dyDescent="0.25">
      <c r="A25" s="5" t="s">
        <v>372</v>
      </c>
      <c r="B25" s="5" t="s">
        <v>373</v>
      </c>
      <c r="D25" t="str">
        <v>Flex Appliance Connector</v>
      </c>
      <c r="E25" t="str">
        <v>Benteler Steel Tube</v>
      </c>
      <c r="I25" t="s">
        <v>656</v>
      </c>
    </row>
    <row r="26" spans="1:10" ht="16.5" customHeight="1" x14ac:dyDescent="0.25">
      <c r="A26" s="5" t="s">
        <v>372</v>
      </c>
      <c r="B26" s="5" t="s">
        <v>374</v>
      </c>
      <c r="D26" t="str">
        <v>Flow Conditioners</v>
      </c>
      <c r="E26" t="str">
        <v>Berg Steel Pipe Corp</v>
      </c>
      <c r="I26" t="s">
        <v>657</v>
      </c>
    </row>
    <row r="27" spans="1:10" ht="16.5" customHeight="1" x14ac:dyDescent="0.25">
      <c r="A27" s="5" t="s">
        <v>375</v>
      </c>
      <c r="B27" s="5" t="s">
        <v>376</v>
      </c>
      <c r="D27" t="str">
        <v>Forged Steel Fittings</v>
      </c>
      <c r="E27" t="str">
        <v>Bettis</v>
      </c>
      <c r="I27" t="s">
        <v>658</v>
      </c>
    </row>
    <row r="28" spans="1:10" ht="16.5" customHeight="1" x14ac:dyDescent="0.25">
      <c r="A28" s="5" t="s">
        <v>375</v>
      </c>
      <c r="B28" s="5" t="s">
        <v>377</v>
      </c>
      <c r="D28" t="str">
        <v>Gate Valves</v>
      </c>
      <c r="E28" t="str">
        <v>Billco</v>
      </c>
      <c r="I28" t="s">
        <v>659</v>
      </c>
    </row>
    <row r="29" spans="1:10" ht="16.5" customHeight="1" x14ac:dyDescent="0.25">
      <c r="A29" s="5" t="s">
        <v>375</v>
      </c>
      <c r="B29" s="5" t="s">
        <v>378</v>
      </c>
      <c r="D29" t="str">
        <v>H2S Monitor</v>
      </c>
      <c r="E29" t="str">
        <v>Bingham and Taylor</v>
      </c>
      <c r="I29" t="s">
        <v>660</v>
      </c>
    </row>
    <row r="30" spans="1:10" ht="16.5" customHeight="1" x14ac:dyDescent="0.25">
      <c r="A30" s="5" t="s">
        <v>375</v>
      </c>
      <c r="B30" s="5" t="s">
        <v>379</v>
      </c>
      <c r="D30" t="str">
        <v>Hard Hats</v>
      </c>
      <c r="E30" t="str">
        <v>Bird Equipment</v>
      </c>
      <c r="I30" t="s">
        <v>661</v>
      </c>
    </row>
    <row r="31" spans="1:10" ht="16.5" customHeight="1" x14ac:dyDescent="0.25">
      <c r="A31" s="5" t="s">
        <v>375</v>
      </c>
      <c r="B31" s="5" t="s">
        <v>380</v>
      </c>
      <c r="D31" t="str">
        <v>High Volume Tap Tees</v>
      </c>
      <c r="E31" t="str">
        <v>Boltex</v>
      </c>
      <c r="I31" t="s">
        <v>662</v>
      </c>
    </row>
    <row r="32" spans="1:10" ht="16.5" customHeight="1" x14ac:dyDescent="0.25">
      <c r="A32" s="5" t="s">
        <v>375</v>
      </c>
      <c r="B32" s="5" t="s">
        <v>381</v>
      </c>
      <c r="D32" t="str">
        <v>Hose</v>
      </c>
      <c r="E32" t="str">
        <v>Bonney Forge</v>
      </c>
      <c r="I32" t="s">
        <v>663</v>
      </c>
    </row>
    <row r="33" spans="1:9" ht="16.5" customHeight="1" x14ac:dyDescent="0.25">
      <c r="A33" s="5" t="s">
        <v>375</v>
      </c>
      <c r="B33" s="5" t="s">
        <v>382</v>
      </c>
      <c r="D33" t="str">
        <v>Instrument Valves</v>
      </c>
      <c r="E33" t="str">
        <v>Borusan  Mannesmann</v>
      </c>
      <c r="I33" t="s">
        <v>664</v>
      </c>
    </row>
    <row r="34" spans="1:9" ht="16.5" customHeight="1" x14ac:dyDescent="0.25">
      <c r="A34" s="5" t="s">
        <v>375</v>
      </c>
      <c r="B34" s="5" t="s">
        <v>383</v>
      </c>
      <c r="D34" t="str">
        <v>Insulators - Flange</v>
      </c>
      <c r="E34" t="str">
        <v>Broen</v>
      </c>
      <c r="I34" t="s">
        <v>665</v>
      </c>
    </row>
    <row r="35" spans="1:9" ht="16.5" customHeight="1" x14ac:dyDescent="0.25">
      <c r="A35" s="5" t="s">
        <v>375</v>
      </c>
      <c r="B35" s="5" t="s">
        <v>384</v>
      </c>
      <c r="D35" t="str">
        <v>Leak Detect, Line Locator</v>
      </c>
      <c r="E35" t="str">
        <v>California Steel Industries (CSI)</v>
      </c>
      <c r="I35" t="s">
        <v>666</v>
      </c>
    </row>
    <row r="36" spans="1:9" ht="16.5" customHeight="1" x14ac:dyDescent="0.25">
      <c r="A36" s="5" t="s">
        <v>375</v>
      </c>
      <c r="B36" s="5" t="s">
        <v>385</v>
      </c>
      <c r="D36" t="str">
        <v>Malleables</v>
      </c>
      <c r="E36" t="str">
        <v>Cameron</v>
      </c>
      <c r="I36" t="s">
        <v>667</v>
      </c>
    </row>
    <row r="37" spans="1:9" ht="16.5" customHeight="1" x14ac:dyDescent="0.25">
      <c r="A37" s="5" t="s">
        <v>375</v>
      </c>
      <c r="B37" s="5" t="s">
        <v>386</v>
      </c>
      <c r="D37" t="str">
        <v>Mechanical</v>
      </c>
      <c r="E37" t="str">
        <v>Canada Pipeline Accessories</v>
      </c>
      <c r="I37" t="s">
        <v>668</v>
      </c>
    </row>
    <row r="38" spans="1:9" ht="16.5" customHeight="1" x14ac:dyDescent="0.25">
      <c r="A38" s="5" t="s">
        <v>387</v>
      </c>
      <c r="B38" s="5" t="s">
        <v>379</v>
      </c>
      <c r="D38" t="str">
        <v>Mechanical Sleeves</v>
      </c>
      <c r="E38" t="str">
        <v>Canalta Controls</v>
      </c>
      <c r="I38" t="s">
        <v>669</v>
      </c>
    </row>
    <row r="39" spans="1:9" ht="16.5" customHeight="1" x14ac:dyDescent="0.25">
      <c r="A39" s="5" t="s">
        <v>387</v>
      </c>
      <c r="B39" s="5" t="s">
        <v>388</v>
      </c>
      <c r="D39" t="str">
        <v>Meter Stop Valves</v>
      </c>
      <c r="E39" t="str">
        <v>Capitol Manufacturing</v>
      </c>
      <c r="I39" t="s">
        <v>670</v>
      </c>
    </row>
    <row r="40" spans="1:9" ht="16.5" customHeight="1" x14ac:dyDescent="0.25">
      <c r="A40" s="5" t="s">
        <v>387</v>
      </c>
      <c r="B40" s="5" t="s">
        <v>389</v>
      </c>
      <c r="D40" t="str">
        <v>Moisture Analyzer</v>
      </c>
      <c r="E40" t="str">
        <v>Carboline</v>
      </c>
      <c r="I40" t="s">
        <v>671</v>
      </c>
    </row>
    <row r="41" spans="1:9" ht="16.5" customHeight="1" x14ac:dyDescent="0.25">
      <c r="A41" s="5" t="s">
        <v>387</v>
      </c>
      <c r="B41" s="5" t="s">
        <v>390</v>
      </c>
      <c r="D41" t="str">
        <v>Nipples</v>
      </c>
      <c r="E41" t="str">
        <v>Chandler Engineering</v>
      </c>
      <c r="I41" t="s">
        <v>672</v>
      </c>
    </row>
    <row r="42" spans="1:9" ht="16.5" customHeight="1" x14ac:dyDescent="0.25">
      <c r="A42" s="5" t="s">
        <v>387</v>
      </c>
      <c r="B42" s="5" t="s">
        <v>391</v>
      </c>
      <c r="D42" t="str">
        <v>Olets</v>
      </c>
      <c r="E42" t="str">
        <v>Charter Plastics</v>
      </c>
      <c r="I42" t="s">
        <v>673</v>
      </c>
    </row>
    <row r="43" spans="1:9" ht="16.5" customHeight="1" x14ac:dyDescent="0.25">
      <c r="A43" s="5" t="s">
        <v>392</v>
      </c>
      <c r="B43" s="5" t="s">
        <v>386</v>
      </c>
      <c r="D43" t="str">
        <v>Orifice Meters</v>
      </c>
      <c r="E43" t="str">
        <v>Coffer (AFGlobal)</v>
      </c>
      <c r="I43" t="s">
        <v>674</v>
      </c>
    </row>
    <row r="44" spans="1:9" ht="16.5" customHeight="1" x14ac:dyDescent="0.25">
      <c r="A44" s="5" t="s">
        <v>392</v>
      </c>
      <c r="B44" s="5" t="s">
        <v>379</v>
      </c>
      <c r="D44" t="str">
        <v>Paint</v>
      </c>
      <c r="E44" t="str">
        <v>Consolidated Pipe &amp; Supply</v>
      </c>
      <c r="I44" t="s">
        <v>675</v>
      </c>
    </row>
    <row r="45" spans="1:9" ht="16.5" customHeight="1" x14ac:dyDescent="0.25">
      <c r="A45" s="5" t="s">
        <v>393</v>
      </c>
      <c r="B45" s="5" t="s">
        <v>394</v>
      </c>
      <c r="D45" t="str">
        <v>Plastic to Steel</v>
      </c>
      <c r="E45" t="str">
        <v>Continental Industries (Hubbell)</v>
      </c>
      <c r="I45" t="s">
        <v>676</v>
      </c>
    </row>
    <row r="46" spans="1:9" ht="16.5" customHeight="1" x14ac:dyDescent="0.25">
      <c r="A46" s="5" t="s">
        <v>393</v>
      </c>
      <c r="B46" s="5" t="s">
        <v>395</v>
      </c>
      <c r="D46" t="str">
        <v>Plastic Valves</v>
      </c>
      <c r="E46" t="str">
        <v>Corrpro</v>
      </c>
      <c r="I46" t="s">
        <v>677</v>
      </c>
    </row>
    <row r="47" spans="1:9" ht="16.5" customHeight="1" x14ac:dyDescent="0.25">
      <c r="A47" s="5" t="s">
        <v>393</v>
      </c>
      <c r="B47" s="5" t="s">
        <v>396</v>
      </c>
      <c r="D47" t="str">
        <v>Plug Valves</v>
      </c>
      <c r="E47" t="str">
        <v>Crane</v>
      </c>
      <c r="I47" t="s">
        <v>678</v>
      </c>
    </row>
    <row r="48" spans="1:9" ht="16.5" customHeight="1" x14ac:dyDescent="0.25">
      <c r="A48" s="5" t="s">
        <v>393</v>
      </c>
      <c r="B48" s="5" t="s">
        <v>397</v>
      </c>
      <c r="D48" t="str">
        <v>Polyethylene Pipe</v>
      </c>
      <c r="E48" t="str">
        <v>CSNRI (Henkel)</v>
      </c>
      <c r="I48" t="s">
        <v>679</v>
      </c>
    </row>
    <row r="49" spans="1:9" ht="16.5" customHeight="1" x14ac:dyDescent="0.25">
      <c r="A49" s="5" t="s">
        <v>393</v>
      </c>
      <c r="B49" s="5" t="s">
        <v>378</v>
      </c>
      <c r="D49" t="str">
        <v>Pre-Fab Comm Meter Sets</v>
      </c>
      <c r="E49" t="str">
        <v>Custom Alloy</v>
      </c>
      <c r="I49" t="s">
        <v>680</v>
      </c>
    </row>
    <row r="50" spans="1:9" ht="16.5" customHeight="1" x14ac:dyDescent="0.25">
      <c r="A50" s="5" t="s">
        <v>393</v>
      </c>
      <c r="B50" s="5" t="s">
        <v>385</v>
      </c>
      <c r="D50" t="str">
        <v>Pre-fab Multi-meter Manis</v>
      </c>
      <c r="E50" t="str">
        <v>Daeyoun (sold as Broen or MTD)</v>
      </c>
      <c r="I50" t="s">
        <v>681</v>
      </c>
    </row>
    <row r="51" spans="1:9" ht="16.5" customHeight="1" x14ac:dyDescent="0.25">
      <c r="A51" s="5" t="s">
        <v>393</v>
      </c>
      <c r="B51" s="5" t="s">
        <v>398</v>
      </c>
      <c r="D51" t="str">
        <v>Pre-fab Regulator Sets</v>
      </c>
      <c r="E51" t="str">
        <v>Daniel Measurement and Control</v>
      </c>
      <c r="I51" t="s">
        <v>682</v>
      </c>
    </row>
    <row r="52" spans="1:9" ht="16.5" customHeight="1" x14ac:dyDescent="0.25">
      <c r="A52" s="5" t="s">
        <v>393</v>
      </c>
      <c r="B52" s="5" t="s">
        <v>399</v>
      </c>
      <c r="D52" t="str">
        <v>Pre-Fab Resi Meter Sets</v>
      </c>
      <c r="E52" t="str">
        <v>Dan-Loc Group</v>
      </c>
      <c r="I52" t="s">
        <v>683</v>
      </c>
    </row>
    <row r="53" spans="1:9" ht="16.5" customHeight="1" x14ac:dyDescent="0.25">
      <c r="A53" s="5" t="s">
        <v>393</v>
      </c>
      <c r="B53" s="5" t="s">
        <v>400</v>
      </c>
      <c r="D53" t="str">
        <v>Pressure Gauges</v>
      </c>
      <c r="E53" t="str">
        <v>Del Mar Scientific</v>
      </c>
      <c r="I53" t="s">
        <v>684</v>
      </c>
    </row>
    <row r="54" spans="1:9" ht="16.5" customHeight="1" x14ac:dyDescent="0.25">
      <c r="A54" s="5" t="s">
        <v>393</v>
      </c>
      <c r="B54" s="5" t="s">
        <v>384</v>
      </c>
      <c r="D54" t="str">
        <v>Regulators</v>
      </c>
      <c r="E54" t="str">
        <v>DL Flange (Allied Group)</v>
      </c>
      <c r="I54" t="s">
        <v>685</v>
      </c>
    </row>
    <row r="55" spans="1:9" ht="16.5" customHeight="1" x14ac:dyDescent="0.25">
      <c r="A55" s="5" t="s">
        <v>393</v>
      </c>
      <c r="B55" s="5" t="s">
        <v>379</v>
      </c>
      <c r="D55" t="str">
        <v>Rotary Meters</v>
      </c>
      <c r="E55" t="str">
        <v>Dormont</v>
      </c>
      <c r="I55" t="s">
        <v>686</v>
      </c>
    </row>
    <row r="56" spans="1:9" ht="16.5" customHeight="1" x14ac:dyDescent="0.25">
      <c r="A56" s="5" t="s">
        <v>393</v>
      </c>
      <c r="B56" s="5" t="s">
        <v>401</v>
      </c>
      <c r="D56" t="str">
        <v>Samplers</v>
      </c>
      <c r="E56" t="str">
        <v>Dresser (Blackhawk)</v>
      </c>
      <c r="I56" t="s">
        <v>687</v>
      </c>
    </row>
    <row r="57" spans="1:9" ht="16.5" customHeight="1" x14ac:dyDescent="0.25">
      <c r="A57" s="5" t="s">
        <v>402</v>
      </c>
      <c r="B57" s="5" t="s">
        <v>403</v>
      </c>
      <c r="D57" t="str">
        <v>Ser. Tee - Steel to Steel</v>
      </c>
      <c r="E57" t="str">
        <v>Dresser Natural Gas Solutions</v>
      </c>
      <c r="I57" t="s">
        <v>688</v>
      </c>
    </row>
    <row r="58" spans="1:9" ht="16.5" customHeight="1" x14ac:dyDescent="0.25">
      <c r="A58" s="5" t="s">
        <v>402</v>
      </c>
      <c r="B58" s="5" t="s">
        <v>404</v>
      </c>
      <c r="D58" t="str">
        <v>Steel Pipe</v>
      </c>
      <c r="E58" t="str">
        <v>Dresser Utility Solutions</v>
      </c>
      <c r="I58" t="s">
        <v>689</v>
      </c>
    </row>
    <row r="59" spans="1:9" ht="16.5" customHeight="1" x14ac:dyDescent="0.25">
      <c r="A59" s="5" t="s">
        <v>402</v>
      </c>
      <c r="B59" s="5" t="s">
        <v>405</v>
      </c>
      <c r="D59" t="str">
        <v>Steel Pipe Coatings</v>
      </c>
      <c r="E59" t="str">
        <v>Dura-Bond Steel</v>
      </c>
      <c r="I59" t="s">
        <v>690</v>
      </c>
    </row>
    <row r="60" spans="1:9" ht="16.5" customHeight="1" x14ac:dyDescent="0.25">
      <c r="A60" s="5" t="s">
        <v>402</v>
      </c>
      <c r="B60" s="5" t="s">
        <v>406</v>
      </c>
      <c r="D60" t="str">
        <v>Steel Repair Clamp</v>
      </c>
      <c r="E60" t="str">
        <v>Duron</v>
      </c>
      <c r="I60" t="s">
        <v>691</v>
      </c>
    </row>
    <row r="61" spans="1:9" ht="16.5" customHeight="1" x14ac:dyDescent="0.25">
      <c r="A61" s="5" t="s">
        <v>407</v>
      </c>
      <c r="B61" s="5" t="s">
        <v>408</v>
      </c>
      <c r="D61" t="str">
        <v>Strainers (T and Y)</v>
      </c>
      <c r="E61" t="str">
        <v>Dynamic Products</v>
      </c>
      <c r="I61" t="s">
        <v>692</v>
      </c>
    </row>
    <row r="62" spans="1:9" ht="16.5" customHeight="1" x14ac:dyDescent="0.25">
      <c r="A62" s="5" t="s">
        <v>407</v>
      </c>
      <c r="B62" s="5" t="s">
        <v>409</v>
      </c>
      <c r="D62" t="str">
        <v>Swage Nipples</v>
      </c>
      <c r="E62" t="str">
        <v>Energy Economics, Inc</v>
      </c>
      <c r="I62" t="s">
        <v>693</v>
      </c>
    </row>
    <row r="63" spans="1:9" ht="16.5" customHeight="1" x14ac:dyDescent="0.25">
      <c r="A63" s="5" t="s">
        <v>407</v>
      </c>
      <c r="B63" s="5" t="s">
        <v>410</v>
      </c>
      <c r="D63" t="str">
        <v>Tap Tee - PE to PE</v>
      </c>
      <c r="E63" t="str">
        <v>Federal Flange</v>
      </c>
      <c r="I63" t="s">
        <v>694</v>
      </c>
    </row>
    <row r="64" spans="1:9" ht="16.5" customHeight="1" x14ac:dyDescent="0.25">
      <c r="A64" s="5" t="s">
        <v>411</v>
      </c>
      <c r="B64" s="5" t="s">
        <v>412</v>
      </c>
      <c r="D64" t="str">
        <v>Tap Tee - Steel to PE</v>
      </c>
      <c r="E64" t="str">
        <v>Field Q</v>
      </c>
      <c r="I64" t="s">
        <v>695</v>
      </c>
    </row>
    <row r="65" spans="1:9" ht="16.5" customHeight="1" x14ac:dyDescent="0.25">
      <c r="A65" s="5" t="s">
        <v>411</v>
      </c>
      <c r="B65" s="5" t="s">
        <v>413</v>
      </c>
      <c r="D65" t="str">
        <v>Tap Tees</v>
      </c>
      <c r="E65" t="str">
        <v>Fisher (Emerson)</v>
      </c>
      <c r="I65" t="s">
        <v>696</v>
      </c>
    </row>
    <row r="66" spans="1:9" ht="16.5" customHeight="1" x14ac:dyDescent="0.25">
      <c r="A66" s="5" t="s">
        <v>411</v>
      </c>
      <c r="B66" s="5" t="s">
        <v>414</v>
      </c>
      <c r="D66" t="str">
        <v>Thread Seal Compound</v>
      </c>
      <c r="E66" t="str">
        <v>Flexitallic</v>
      </c>
      <c r="I66" t="s">
        <v>697</v>
      </c>
    </row>
    <row r="67" spans="1:9" ht="16.5" customHeight="1" x14ac:dyDescent="0.25">
      <c r="A67" s="5" t="s">
        <v>411</v>
      </c>
      <c r="B67" s="5" t="s">
        <v>415</v>
      </c>
      <c r="D67" t="str">
        <v>Tracer Wire &amp; Connectors</v>
      </c>
      <c r="E67" t="str">
        <v>Flow Safe</v>
      </c>
      <c r="I67" t="s">
        <v>698</v>
      </c>
    </row>
    <row r="68" spans="1:9" ht="16.5" customHeight="1" x14ac:dyDescent="0.25">
      <c r="A68" s="5" t="s">
        <v>411</v>
      </c>
      <c r="B68" s="5" t="s">
        <v>416</v>
      </c>
      <c r="D68" t="str">
        <v>Transition</v>
      </c>
      <c r="E68" t="str">
        <v>Flowserve</v>
      </c>
      <c r="I68" t="s">
        <v>699</v>
      </c>
    </row>
    <row r="69" spans="1:9" ht="16.5" customHeight="1" x14ac:dyDescent="0.25">
      <c r="A69" s="5" t="s">
        <v>411</v>
      </c>
      <c r="B69" s="5" t="s">
        <v>417</v>
      </c>
      <c r="D69" t="str">
        <v>Turbine Meters</v>
      </c>
      <c r="E69" t="str">
        <v>Friatec</v>
      </c>
      <c r="I69" t="s">
        <v>700</v>
      </c>
    </row>
    <row r="70" spans="1:9" ht="16.5" customHeight="1" x14ac:dyDescent="0.25">
      <c r="A70" s="5" t="s">
        <v>418</v>
      </c>
      <c r="B70" s="5" t="s">
        <v>419</v>
      </c>
      <c r="D70" t="str">
        <v>Ultrasonics</v>
      </c>
      <c r="E70" t="str">
        <v>Friatec (Frialen)</v>
      </c>
      <c r="I70" t="s">
        <v>701</v>
      </c>
    </row>
    <row r="71" spans="1:9" ht="16.5" customHeight="1" x14ac:dyDescent="0.25">
      <c r="A71" s="5" t="s">
        <v>418</v>
      </c>
      <c r="B71" s="5" t="s">
        <v>420</v>
      </c>
      <c r="D71" t="str">
        <v>Valve Actuator Comp</v>
      </c>
      <c r="E71" t="str">
        <v>Galperti Inc.</v>
      </c>
      <c r="I71" t="s">
        <v>702</v>
      </c>
    </row>
    <row r="72" spans="1:9" ht="16.5" customHeight="1" x14ac:dyDescent="0.25">
      <c r="A72" s="5" t="s">
        <v>418</v>
      </c>
      <c r="B72" s="5" t="s">
        <v>421</v>
      </c>
      <c r="D72" t="str">
        <v>Valve Actuator Main Line</v>
      </c>
      <c r="E72" t="str">
        <v>Garlock</v>
      </c>
      <c r="I72" t="s">
        <v>703</v>
      </c>
    </row>
    <row r="73" spans="1:9" ht="16.5" customHeight="1" x14ac:dyDescent="0.25">
      <c r="A73" s="5" t="s">
        <v>422</v>
      </c>
      <c r="B73" s="5" t="s">
        <v>423</v>
      </c>
      <c r="D73" t="str">
        <v>Valve Box</v>
      </c>
      <c r="E73" t="str">
        <v>Gasbreaker (Hubbell)</v>
      </c>
      <c r="I73" t="s">
        <v>704</v>
      </c>
    </row>
    <row r="74" spans="1:9" ht="16.5" customHeight="1" x14ac:dyDescent="0.25">
      <c r="A74" s="5" t="s">
        <v>422</v>
      </c>
      <c r="B74" s="5" t="s">
        <v>421</v>
      </c>
      <c r="D74" t="str">
        <v>Valve Sealants</v>
      </c>
      <c r="E74" t="str">
        <v>Gasket Resources</v>
      </c>
      <c r="I74" t="s">
        <v>705</v>
      </c>
    </row>
    <row r="75" spans="1:9" ht="16.5" customHeight="1" x14ac:dyDescent="0.25">
      <c r="A75" s="5" t="s">
        <v>422</v>
      </c>
      <c r="B75" s="5" t="s">
        <v>419</v>
      </c>
      <c r="D75" t="str">
        <v>Weld Fittings</v>
      </c>
      <c r="E75" t="str">
        <v>Georg Fischer Central Plastics</v>
      </c>
      <c r="I75" t="s">
        <v>706</v>
      </c>
    </row>
    <row r="76" spans="1:9" ht="16.5" customHeight="1" x14ac:dyDescent="0.25">
      <c r="A76" s="5" t="s">
        <v>424</v>
      </c>
      <c r="B76" s="5" t="s">
        <v>369</v>
      </c>
      <c r="D76" t="str">
        <v>Weld Line Stoppers</v>
      </c>
      <c r="E76" t="str">
        <v>GPT Industries</v>
      </c>
      <c r="I76" t="s">
        <v>707</v>
      </c>
    </row>
    <row r="77" spans="1:9" ht="16.5" customHeight="1" x14ac:dyDescent="0.25">
      <c r="A77" s="5" t="s">
        <v>424</v>
      </c>
      <c r="B77" s="5" t="s">
        <v>425</v>
      </c>
      <c r="D77" t="str">
        <v>Weld Reinforcing Fittings</v>
      </c>
      <c r="E77" t="str">
        <v>Green Country</v>
      </c>
      <c r="I77" t="s">
        <v>708</v>
      </c>
    </row>
    <row r="78" spans="1:9" ht="16.5" customHeight="1" x14ac:dyDescent="0.25">
      <c r="A78" s="5" t="s">
        <v>426</v>
      </c>
      <c r="B78" s="5" t="s">
        <v>427</v>
      </c>
      <c r="D78" t="str">
        <v>Weld Sleeves</v>
      </c>
      <c r="E78" t="str">
        <v>Grove</v>
      </c>
      <c r="I78" t="s">
        <v>709</v>
      </c>
    </row>
    <row r="79" spans="1:9" ht="16.5" customHeight="1" x14ac:dyDescent="0.25">
      <c r="A79" s="5" t="s">
        <v>426</v>
      </c>
      <c r="B79" s="5" t="s">
        <v>428</v>
      </c>
      <c r="E79" t="str">
        <v>GTG Engineering</v>
      </c>
      <c r="I79" t="s">
        <v>710</v>
      </c>
    </row>
    <row r="80" spans="1:9" ht="16.5" customHeight="1" x14ac:dyDescent="0.25">
      <c r="A80" s="5" t="s">
        <v>426</v>
      </c>
      <c r="B80" s="5" t="s">
        <v>429</v>
      </c>
      <c r="E80" t="str">
        <v>Hackney Ladish</v>
      </c>
      <c r="I80" t="s">
        <v>711</v>
      </c>
    </row>
    <row r="81" spans="1:9" ht="16.5" customHeight="1" x14ac:dyDescent="0.25">
      <c r="A81" s="5" t="s">
        <v>430</v>
      </c>
      <c r="B81" s="5" t="s">
        <v>431</v>
      </c>
      <c r="E81" t="str">
        <v>Handley Industries</v>
      </c>
      <c r="I81" t="s">
        <v>712</v>
      </c>
    </row>
    <row r="82" spans="1:9" ht="16.5" customHeight="1" x14ac:dyDescent="0.25">
      <c r="A82" s="5" t="s">
        <v>430</v>
      </c>
      <c r="B82" s="5" t="s">
        <v>432</v>
      </c>
      <c r="E82" t="str">
        <v>Harco</v>
      </c>
      <c r="I82" t="s">
        <v>713</v>
      </c>
    </row>
    <row r="83" spans="1:9" ht="16.5" customHeight="1" x14ac:dyDescent="0.25">
      <c r="A83" s="5" t="s">
        <v>430</v>
      </c>
      <c r="B83" s="5" t="s">
        <v>433</v>
      </c>
      <c r="E83" t="str">
        <v>Heath</v>
      </c>
      <c r="I83" t="s">
        <v>714</v>
      </c>
    </row>
    <row r="84" spans="1:9" ht="16.5" customHeight="1" x14ac:dyDescent="0.25">
      <c r="A84" s="5" t="s">
        <v>430</v>
      </c>
      <c r="B84" s="5" t="s">
        <v>434</v>
      </c>
      <c r="E84" t="str">
        <v>Heise</v>
      </c>
      <c r="I84" t="s">
        <v>715</v>
      </c>
    </row>
    <row r="85" spans="1:9" ht="16.5" customHeight="1" x14ac:dyDescent="0.25">
      <c r="A85" s="5" t="s">
        <v>430</v>
      </c>
      <c r="B85" s="5" t="s">
        <v>435</v>
      </c>
      <c r="E85" t="str">
        <v>Highland Threads</v>
      </c>
      <c r="I85" t="s">
        <v>716</v>
      </c>
    </row>
    <row r="86" spans="1:9" ht="16.5" customHeight="1" x14ac:dyDescent="0.25">
      <c r="A86" s="5" t="s">
        <v>430</v>
      </c>
      <c r="B86" s="5" t="s">
        <v>436</v>
      </c>
      <c r="E86" t="str">
        <v>Honeywell (Perfection)</v>
      </c>
      <c r="I86" t="s">
        <v>717</v>
      </c>
    </row>
    <row r="87" spans="1:9" ht="16.5" customHeight="1" x14ac:dyDescent="0.25">
      <c r="A87" s="5" t="s">
        <v>430</v>
      </c>
      <c r="B87" s="5" t="s">
        <v>437</v>
      </c>
      <c r="E87" t="str">
        <v>Hunt Pipeline Products</v>
      </c>
      <c r="I87" t="s">
        <v>718</v>
      </c>
    </row>
    <row r="88" spans="1:9" ht="16.5" customHeight="1" x14ac:dyDescent="0.25">
      <c r="A88" s="5" t="s">
        <v>430</v>
      </c>
      <c r="B88" s="5" t="s">
        <v>386</v>
      </c>
      <c r="E88" t="str">
        <v>Innogaz (Kerotest)</v>
      </c>
      <c r="I88" t="s">
        <v>719</v>
      </c>
    </row>
    <row r="89" spans="1:9" ht="16.5" customHeight="1" x14ac:dyDescent="0.25">
      <c r="A89" s="5" t="s">
        <v>438</v>
      </c>
      <c r="B89" s="5" t="s">
        <v>439</v>
      </c>
      <c r="E89" t="str">
        <v>Jamesbury</v>
      </c>
      <c r="I89" t="s">
        <v>720</v>
      </c>
    </row>
    <row r="90" spans="1:9" ht="16.5" customHeight="1" x14ac:dyDescent="0.25">
      <c r="A90" s="5" t="s">
        <v>438</v>
      </c>
      <c r="B90" s="5" t="s">
        <v>440</v>
      </c>
      <c r="E90" t="str">
        <v>JC Whitlam</v>
      </c>
      <c r="I90" t="s">
        <v>721</v>
      </c>
    </row>
    <row r="91" spans="1:9" ht="16.5" customHeight="1" x14ac:dyDescent="0.25">
      <c r="A91" s="5" t="s">
        <v>438</v>
      </c>
      <c r="B91" s="5" t="s">
        <v>441</v>
      </c>
      <c r="E91" t="str">
        <v>Jomar Valve</v>
      </c>
      <c r="I91" t="s">
        <v>722</v>
      </c>
    </row>
    <row r="92" spans="1:9" ht="16.5" customHeight="1" x14ac:dyDescent="0.25">
      <c r="A92" s="5" t="s">
        <v>438</v>
      </c>
      <c r="B92" s="5" t="s">
        <v>442</v>
      </c>
      <c r="E92" t="str">
        <v>Keckley</v>
      </c>
      <c r="I92" t="s">
        <v>723</v>
      </c>
    </row>
    <row r="93" spans="1:9" ht="16.5" customHeight="1" x14ac:dyDescent="0.25">
      <c r="A93" s="5" t="s">
        <v>438</v>
      </c>
      <c r="B93" s="5" t="s">
        <v>443</v>
      </c>
      <c r="E93" t="str">
        <v>Kerkau Mfg</v>
      </c>
      <c r="I93" t="s">
        <v>724</v>
      </c>
    </row>
    <row r="94" spans="1:9" ht="16.5" customHeight="1" x14ac:dyDescent="0.25">
      <c r="A94" s="5" t="s">
        <v>438</v>
      </c>
      <c r="B94" s="5" t="s">
        <v>444</v>
      </c>
      <c r="E94" t="str">
        <v>Kerotest Manufacturing</v>
      </c>
      <c r="I94" t="s">
        <v>725</v>
      </c>
    </row>
    <row r="95" spans="1:9" ht="16.5" customHeight="1" x14ac:dyDescent="0.25">
      <c r="A95" s="5" t="s">
        <v>438</v>
      </c>
      <c r="B95" s="5" t="s">
        <v>445</v>
      </c>
      <c r="E95" t="str">
        <v>Key-Tite</v>
      </c>
      <c r="I95" t="s">
        <v>726</v>
      </c>
    </row>
    <row r="96" spans="1:9" ht="16.5" customHeight="1" x14ac:dyDescent="0.25">
      <c r="A96" s="5" t="s">
        <v>438</v>
      </c>
      <c r="B96" s="5" t="s">
        <v>446</v>
      </c>
      <c r="E96" t="str">
        <v>KF Valves</v>
      </c>
      <c r="I96" t="s">
        <v>727</v>
      </c>
    </row>
    <row r="97" spans="1:9" ht="16.5" customHeight="1" x14ac:dyDescent="0.25">
      <c r="A97" s="5" t="s">
        <v>447</v>
      </c>
      <c r="B97" s="5" t="s">
        <v>448</v>
      </c>
      <c r="E97" t="str">
        <v>King Innovation</v>
      </c>
      <c r="I97" t="s">
        <v>728</v>
      </c>
    </row>
    <row r="98" spans="1:9" ht="16.5" customHeight="1" x14ac:dyDescent="0.25">
      <c r="A98" s="5" t="s">
        <v>447</v>
      </c>
      <c r="B98" s="5" t="s">
        <v>449</v>
      </c>
      <c r="E98" t="str">
        <v>King Tool</v>
      </c>
      <c r="I98" t="s">
        <v>729</v>
      </c>
    </row>
    <row r="99" spans="1:9" ht="16.5" customHeight="1" x14ac:dyDescent="0.25">
      <c r="A99" s="5" t="s">
        <v>447</v>
      </c>
      <c r="B99" s="5" t="s">
        <v>450</v>
      </c>
      <c r="E99" t="str">
        <v>Kris-Tech Wire</v>
      </c>
      <c r="I99" t="s">
        <v>730</v>
      </c>
    </row>
    <row r="100" spans="1:9" ht="16.5" customHeight="1" x14ac:dyDescent="0.25">
      <c r="A100" s="5" t="s">
        <v>447</v>
      </c>
      <c r="B100" s="5" t="s">
        <v>451</v>
      </c>
      <c r="E100" t="str">
        <v>LA-CO</v>
      </c>
      <c r="I100" t="s">
        <v>731</v>
      </c>
    </row>
    <row r="101" spans="1:9" ht="16.5" customHeight="1" x14ac:dyDescent="0.25">
      <c r="A101" s="5" t="s">
        <v>447</v>
      </c>
      <c r="B101" s="5" t="s">
        <v>452</v>
      </c>
      <c r="E101" t="str">
        <v>Lone Star Sealing Technologies</v>
      </c>
      <c r="I101" t="s">
        <v>732</v>
      </c>
    </row>
    <row r="102" spans="1:9" ht="16.5" customHeight="1" x14ac:dyDescent="0.25">
      <c r="A102" s="5" t="s">
        <v>453</v>
      </c>
      <c r="B102" s="5" t="s">
        <v>454</v>
      </c>
      <c r="E102" t="str">
        <v>LoneStar Fasteners</v>
      </c>
      <c r="I102" t="s">
        <v>733</v>
      </c>
    </row>
    <row r="103" spans="1:9" ht="16.5" customHeight="1" x14ac:dyDescent="0.25">
      <c r="A103" s="5" t="s">
        <v>453</v>
      </c>
      <c r="B103" s="5" t="s">
        <v>455</v>
      </c>
      <c r="E103" t="str">
        <v>M &amp; J Valve</v>
      </c>
      <c r="I103" t="s">
        <v>734</v>
      </c>
    </row>
    <row r="104" spans="1:9" ht="16.5" customHeight="1" x14ac:dyDescent="0.25">
      <c r="A104" s="5" t="s">
        <v>453</v>
      </c>
      <c r="B104" s="5" t="s">
        <v>456</v>
      </c>
      <c r="E104" t="str">
        <v>M and M Enterprises</v>
      </c>
      <c r="I104" t="s">
        <v>735</v>
      </c>
    </row>
    <row r="105" spans="1:9" ht="16.5" customHeight="1" x14ac:dyDescent="0.25">
      <c r="A105" s="5" t="s">
        <v>457</v>
      </c>
      <c r="B105" s="5" t="s">
        <v>458</v>
      </c>
      <c r="E105" t="str">
        <v>M.E.G.A.</v>
      </c>
      <c r="I105" t="s">
        <v>736</v>
      </c>
    </row>
    <row r="106" spans="1:9" ht="16.5" customHeight="1" x14ac:dyDescent="0.25">
      <c r="A106" s="5" t="s">
        <v>457</v>
      </c>
      <c r="B106" s="5" t="s">
        <v>459</v>
      </c>
      <c r="E106" t="str">
        <v>Maloney Technical Products</v>
      </c>
      <c r="I106" t="s">
        <v>737</v>
      </c>
    </row>
    <row r="107" spans="1:9" ht="16.5" customHeight="1" x14ac:dyDescent="0.25">
      <c r="A107" s="5" t="s">
        <v>457</v>
      </c>
      <c r="B107" s="104" t="s">
        <v>794</v>
      </c>
      <c r="E107" t="str">
        <v>McDaniel Controls, Inc.</v>
      </c>
      <c r="I107" t="s">
        <v>738</v>
      </c>
    </row>
    <row r="108" spans="1:9" ht="16.5" customHeight="1" x14ac:dyDescent="0.25">
      <c r="A108" s="5" t="s">
        <v>457</v>
      </c>
      <c r="B108" s="5" t="s">
        <v>442</v>
      </c>
      <c r="E108" t="str">
        <v>Michigan Seamless</v>
      </c>
      <c r="I108" t="s">
        <v>739</v>
      </c>
    </row>
    <row r="109" spans="1:9" ht="16.5" customHeight="1" x14ac:dyDescent="0.25">
      <c r="A109" s="5" t="s">
        <v>457</v>
      </c>
      <c r="B109" s="5" t="s">
        <v>460</v>
      </c>
      <c r="E109" t="str">
        <v>Miller Pipeline</v>
      </c>
      <c r="I109" t="s">
        <v>740</v>
      </c>
    </row>
    <row r="110" spans="1:9" ht="16.5" customHeight="1" x14ac:dyDescent="0.25">
      <c r="A110" s="5" t="s">
        <v>457</v>
      </c>
      <c r="B110" s="5" t="s">
        <v>461</v>
      </c>
      <c r="E110" t="str">
        <v>Mills Iron Works</v>
      </c>
      <c r="I110" t="s">
        <v>741</v>
      </c>
    </row>
    <row r="111" spans="1:9" ht="16.5" customHeight="1" x14ac:dyDescent="0.25">
      <c r="A111" s="5" t="s">
        <v>457</v>
      </c>
      <c r="B111" s="5" t="s">
        <v>462</v>
      </c>
      <c r="E111" t="str">
        <v>Mine Safety Appliances Company (MSA)</v>
      </c>
      <c r="I111" t="s">
        <v>742</v>
      </c>
    </row>
    <row r="112" spans="1:9" ht="16.5" customHeight="1" x14ac:dyDescent="0.25">
      <c r="A112" s="5" t="s">
        <v>457</v>
      </c>
      <c r="B112" s="5" t="s">
        <v>463</v>
      </c>
      <c r="E112" t="str">
        <v>Modco (NOV)</v>
      </c>
      <c r="I112" t="s">
        <v>743</v>
      </c>
    </row>
    <row r="113" spans="1:9" ht="16.5" customHeight="1" x14ac:dyDescent="0.25">
      <c r="A113" s="5" t="s">
        <v>457</v>
      </c>
      <c r="B113" s="5" t="s">
        <v>464</v>
      </c>
      <c r="E113" t="str">
        <v>Mokveld</v>
      </c>
      <c r="I113" t="s">
        <v>744</v>
      </c>
    </row>
    <row r="114" spans="1:9" ht="16.5" customHeight="1" x14ac:dyDescent="0.25">
      <c r="A114" s="5" t="s">
        <v>465</v>
      </c>
      <c r="B114" s="5" t="s">
        <v>466</v>
      </c>
      <c r="E114" t="str">
        <v>Mooney (Baker Hughes)</v>
      </c>
      <c r="I114" t="s">
        <v>745</v>
      </c>
    </row>
    <row r="115" spans="1:9" ht="16.5" customHeight="1" x14ac:dyDescent="0.25">
      <c r="A115" s="5" t="s">
        <v>465</v>
      </c>
      <c r="B115" s="5" t="s">
        <v>467</v>
      </c>
      <c r="E115" t="str">
        <v>Morin</v>
      </c>
      <c r="I115" t="s">
        <v>746</v>
      </c>
    </row>
    <row r="116" spans="1:9" ht="16.5" customHeight="1" x14ac:dyDescent="0.25">
      <c r="A116" s="5" t="s">
        <v>465</v>
      </c>
      <c r="B116" s="5" t="s">
        <v>369</v>
      </c>
      <c r="E116" t="str">
        <v>MT Deason (ISCO)</v>
      </c>
      <c r="I116" t="s">
        <v>747</v>
      </c>
    </row>
    <row r="117" spans="1:9" ht="16.5" customHeight="1" x14ac:dyDescent="0.25">
      <c r="A117" s="5" t="s">
        <v>465</v>
      </c>
      <c r="B117" s="5" t="s">
        <v>405</v>
      </c>
      <c r="E117" t="str">
        <v>Mueller</v>
      </c>
      <c r="I117" t="s">
        <v>748</v>
      </c>
    </row>
    <row r="118" spans="1:9" ht="16.5" customHeight="1" x14ac:dyDescent="0.25">
      <c r="A118" s="5" t="s">
        <v>465</v>
      </c>
      <c r="B118" s="5" t="s">
        <v>468</v>
      </c>
      <c r="E118" t="str">
        <v>Mueller Steam Specialty</v>
      </c>
      <c r="I118" t="s">
        <v>749</v>
      </c>
    </row>
    <row r="119" spans="1:9" ht="16.5" customHeight="1" x14ac:dyDescent="0.25">
      <c r="A119" s="5" t="s">
        <v>465</v>
      </c>
      <c r="B119" s="5" t="s">
        <v>469</v>
      </c>
      <c r="E119" t="str">
        <v>Navco (Cameron)</v>
      </c>
      <c r="I119" t="s">
        <v>750</v>
      </c>
    </row>
    <row r="120" spans="1:9" ht="16.5" customHeight="1" x14ac:dyDescent="0.25">
      <c r="A120" s="5" t="s">
        <v>470</v>
      </c>
      <c r="B120" s="5" t="s">
        <v>461</v>
      </c>
      <c r="E120" t="str">
        <v>Neptco</v>
      </c>
      <c r="I120" t="s">
        <v>751</v>
      </c>
    </row>
    <row r="121" spans="1:9" ht="16.5" customHeight="1" x14ac:dyDescent="0.25">
      <c r="A121" s="5" t="s">
        <v>470</v>
      </c>
      <c r="B121" s="5" t="s">
        <v>369</v>
      </c>
      <c r="E121" t="str">
        <v>Nordstrom</v>
      </c>
      <c r="I121" t="s">
        <v>752</v>
      </c>
    </row>
    <row r="122" spans="1:9" ht="16.5" customHeight="1" x14ac:dyDescent="0.25">
      <c r="A122" s="5" t="s">
        <v>470</v>
      </c>
      <c r="B122" s="5" t="s">
        <v>471</v>
      </c>
      <c r="E122" t="str">
        <v>Nordstrom (FlowServe)</v>
      </c>
      <c r="I122" t="s">
        <v>753</v>
      </c>
    </row>
    <row r="123" spans="1:9" ht="16.5" customHeight="1" x14ac:dyDescent="0.25">
      <c r="A123" s="5" t="s">
        <v>472</v>
      </c>
      <c r="B123" s="5" t="s">
        <v>473</v>
      </c>
      <c r="E123" t="str">
        <v>Norriseal-Wellmark (ChampionX)</v>
      </c>
      <c r="I123" t="s">
        <v>754</v>
      </c>
    </row>
    <row r="124" spans="1:9" ht="16.5" customHeight="1" x14ac:dyDescent="0.25">
      <c r="A124" s="5" t="s">
        <v>472</v>
      </c>
      <c r="B124" s="5" t="s">
        <v>474</v>
      </c>
      <c r="E124" t="str">
        <v>Noshok</v>
      </c>
      <c r="I124" t="s">
        <v>755</v>
      </c>
    </row>
    <row r="125" spans="1:9" ht="16.5" customHeight="1" x14ac:dyDescent="0.25">
      <c r="A125" s="5" t="s">
        <v>472</v>
      </c>
      <c r="B125" s="5" t="s">
        <v>475</v>
      </c>
      <c r="E125" t="str">
        <v>Nutron (Cameron)</v>
      </c>
      <c r="I125" t="s">
        <v>756</v>
      </c>
    </row>
    <row r="126" spans="1:9" ht="16.5" customHeight="1" x14ac:dyDescent="0.25">
      <c r="A126" s="5" t="s">
        <v>472</v>
      </c>
      <c r="B126" s="5" t="s">
        <v>476</v>
      </c>
      <c r="E126" t="str">
        <v>OneWest (Westbrook)</v>
      </c>
      <c r="I126" t="s">
        <v>757</v>
      </c>
    </row>
    <row r="127" spans="1:9" ht="16.5" customHeight="1" x14ac:dyDescent="0.25">
      <c r="A127" s="5" t="s">
        <v>472</v>
      </c>
      <c r="B127" s="5" t="s">
        <v>477</v>
      </c>
      <c r="E127" t="str">
        <v>Parker</v>
      </c>
      <c r="I127" t="s">
        <v>758</v>
      </c>
    </row>
    <row r="128" spans="1:9" ht="16.5" customHeight="1" x14ac:dyDescent="0.25">
      <c r="A128" s="5" t="s">
        <v>472</v>
      </c>
      <c r="B128" s="5" t="s">
        <v>478</v>
      </c>
      <c r="E128" t="str">
        <v>Patriot Process Equipment</v>
      </c>
      <c r="I128" t="s">
        <v>759</v>
      </c>
    </row>
    <row r="129" spans="1:9" ht="16.5" customHeight="1" x14ac:dyDescent="0.25">
      <c r="A129" s="5" t="s">
        <v>479</v>
      </c>
      <c r="B129" s="5" t="s">
        <v>480</v>
      </c>
      <c r="E129" t="str">
        <v>PBV</v>
      </c>
      <c r="I129" t="s">
        <v>760</v>
      </c>
    </row>
    <row r="130" spans="1:9" ht="16.5" customHeight="1" x14ac:dyDescent="0.25">
      <c r="A130" s="5" t="s">
        <v>479</v>
      </c>
      <c r="B130" s="5" t="s">
        <v>481</v>
      </c>
      <c r="E130" t="str">
        <v>Peerless Mfg. Co.</v>
      </c>
      <c r="I130" t="s">
        <v>761</v>
      </c>
    </row>
    <row r="131" spans="1:9" ht="16.5" customHeight="1" x14ac:dyDescent="0.25">
      <c r="A131" s="5" t="s">
        <v>479</v>
      </c>
      <c r="B131" s="5" t="s">
        <v>482</v>
      </c>
      <c r="E131" t="str">
        <v>Penn Machine Works</v>
      </c>
      <c r="I131" t="s">
        <v>762</v>
      </c>
    </row>
    <row r="132" spans="1:9" ht="16.5" customHeight="1" x14ac:dyDescent="0.25">
      <c r="A132" s="5" t="s">
        <v>479</v>
      </c>
      <c r="B132" s="5" t="s">
        <v>483</v>
      </c>
      <c r="E132" t="str">
        <v>Perfection (Honeywell)</v>
      </c>
      <c r="I132" t="s">
        <v>763</v>
      </c>
    </row>
    <row r="133" spans="1:9" ht="16.5" customHeight="1" x14ac:dyDescent="0.25">
      <c r="A133" s="5" t="s">
        <v>479</v>
      </c>
      <c r="B133" s="5" t="s">
        <v>484</v>
      </c>
      <c r="E133" t="str">
        <v>Performance Pipe</v>
      </c>
      <c r="I133" t="s">
        <v>764</v>
      </c>
    </row>
    <row r="134" spans="1:9" ht="16.5" customHeight="1" x14ac:dyDescent="0.25">
      <c r="A134" s="5" t="s">
        <v>485</v>
      </c>
      <c r="B134" s="5" t="s">
        <v>483</v>
      </c>
      <c r="E134" t="str">
        <v>Permabond</v>
      </c>
      <c r="I134" t="s">
        <v>765</v>
      </c>
    </row>
    <row r="135" spans="1:9" ht="16.5" customHeight="1" x14ac:dyDescent="0.25">
      <c r="A135" s="5" t="s">
        <v>485</v>
      </c>
      <c r="B135" s="5" t="s">
        <v>476</v>
      </c>
      <c r="E135" t="str">
        <v>Perry Equipment Corporation (PECO)</v>
      </c>
      <c r="I135" t="s">
        <v>766</v>
      </c>
    </row>
    <row r="136" spans="1:9" ht="16.5" customHeight="1" x14ac:dyDescent="0.25">
      <c r="A136" s="5" t="s">
        <v>486</v>
      </c>
      <c r="B136" s="5" t="s">
        <v>483</v>
      </c>
      <c r="E136" t="str">
        <v>PGI</v>
      </c>
      <c r="I136" t="s">
        <v>767</v>
      </c>
    </row>
    <row r="137" spans="1:9" ht="16.5" customHeight="1" x14ac:dyDescent="0.25">
      <c r="A137" s="5" t="s">
        <v>486</v>
      </c>
      <c r="B137" s="5" t="s">
        <v>476</v>
      </c>
      <c r="E137" t="str">
        <v>Pietro Fiorentini</v>
      </c>
      <c r="I137" t="s">
        <v>768</v>
      </c>
    </row>
    <row r="138" spans="1:9" ht="16.5" customHeight="1" x14ac:dyDescent="0.25">
      <c r="A138" s="5" t="s">
        <v>486</v>
      </c>
      <c r="B138" s="104" t="s">
        <v>793</v>
      </c>
      <c r="E138" t="str">
        <v>Pipeline Equipment</v>
      </c>
      <c r="I138" t="s">
        <v>769</v>
      </c>
    </row>
    <row r="139" spans="1:9" ht="16.5" customHeight="1" x14ac:dyDescent="0.25">
      <c r="A139" s="5" t="s">
        <v>486</v>
      </c>
      <c r="B139" s="5" t="s">
        <v>480</v>
      </c>
      <c r="E139" t="str">
        <v>Plasson</v>
      </c>
      <c r="I139" t="s">
        <v>770</v>
      </c>
    </row>
    <row r="140" spans="1:9" ht="16.5" customHeight="1" x14ac:dyDescent="0.25">
      <c r="A140" s="5" t="s">
        <v>487</v>
      </c>
      <c r="B140" s="5" t="s">
        <v>478</v>
      </c>
      <c r="E140" t="str">
        <v>Poly Pipe (formerly Dura-Line)</v>
      </c>
    </row>
    <row r="141" spans="1:9" ht="16.5" customHeight="1" x14ac:dyDescent="0.25">
      <c r="A141" s="5" t="s">
        <v>487</v>
      </c>
      <c r="B141" s="5" t="s">
        <v>476</v>
      </c>
      <c r="E141" t="str">
        <v>Polyvalve</v>
      </c>
    </row>
    <row r="142" spans="1:9" ht="16.5" customHeight="1" x14ac:dyDescent="0.25">
      <c r="A142" s="5" t="s">
        <v>487</v>
      </c>
      <c r="B142" s="5" t="s">
        <v>473</v>
      </c>
      <c r="E142" t="str">
        <v>PowerSeal</v>
      </c>
    </row>
    <row r="143" spans="1:9" ht="16.5" customHeight="1" x14ac:dyDescent="0.25">
      <c r="A143" s="5" t="s">
        <v>487</v>
      </c>
      <c r="B143" s="5" t="s">
        <v>461</v>
      </c>
      <c r="E143" t="str">
        <v>Precision Flow Inc.</v>
      </c>
    </row>
    <row r="144" spans="1:9" ht="16.5" customHeight="1" x14ac:dyDescent="0.25">
      <c r="A144" s="5" t="s">
        <v>487</v>
      </c>
      <c r="B144" s="5" t="s">
        <v>477</v>
      </c>
      <c r="E144" t="str">
        <v>Pro-Line (Trident Solutions)</v>
      </c>
    </row>
    <row r="145" spans="1:5" ht="16.5" customHeight="1" x14ac:dyDescent="0.25">
      <c r="A145" s="5" t="s">
        <v>488</v>
      </c>
      <c r="B145" s="5" t="s">
        <v>468</v>
      </c>
      <c r="E145" t="str">
        <v>Quadrant Valve (ASC Engineered Solutions)</v>
      </c>
    </row>
    <row r="146" spans="1:5" ht="16.5" customHeight="1" x14ac:dyDescent="0.25">
      <c r="A146" s="5" t="s">
        <v>488</v>
      </c>
      <c r="B146" s="5" t="s">
        <v>347</v>
      </c>
      <c r="E146" t="str">
        <v>Rectorseal</v>
      </c>
    </row>
    <row r="147" spans="1:5" ht="16.5" customHeight="1" x14ac:dyDescent="0.25">
      <c r="A147" s="5" t="s">
        <v>488</v>
      </c>
      <c r="B147" s="5" t="s">
        <v>484</v>
      </c>
      <c r="E147" t="str">
        <v>Republic Wire</v>
      </c>
    </row>
    <row r="148" spans="1:5" ht="16.5" customHeight="1" x14ac:dyDescent="0.25">
      <c r="A148" s="5" t="s">
        <v>489</v>
      </c>
      <c r="B148" s="5" t="s">
        <v>414</v>
      </c>
      <c r="E148" t="str">
        <v>Romet</v>
      </c>
    </row>
    <row r="149" spans="1:5" ht="16.5" customHeight="1" x14ac:dyDescent="0.25">
      <c r="A149" s="5" t="s">
        <v>489</v>
      </c>
      <c r="B149" s="5" t="s">
        <v>490</v>
      </c>
      <c r="E149" t="str">
        <v>ROOTS (Dresser Utility Solutions)</v>
      </c>
    </row>
    <row r="150" spans="1:5" ht="16.5" customHeight="1" x14ac:dyDescent="0.25">
      <c r="A150" s="5" t="s">
        <v>489</v>
      </c>
      <c r="B150" s="5" t="s">
        <v>390</v>
      </c>
      <c r="E150" t="str">
        <v>Rotork</v>
      </c>
    </row>
    <row r="151" spans="1:5" ht="16.5" customHeight="1" x14ac:dyDescent="0.25">
      <c r="A151" s="5" t="s">
        <v>491</v>
      </c>
      <c r="B151" s="5" t="s">
        <v>484</v>
      </c>
      <c r="E151" t="str">
        <v>Rub</v>
      </c>
    </row>
    <row r="152" spans="1:5" ht="16.5" customHeight="1" x14ac:dyDescent="0.25">
      <c r="A152" s="5" t="s">
        <v>491</v>
      </c>
      <c r="B152" s="5" t="s">
        <v>492</v>
      </c>
      <c r="E152" t="str">
        <v>RW Lyall (Hubbell)</v>
      </c>
    </row>
    <row r="153" spans="1:5" ht="16.5" customHeight="1" x14ac:dyDescent="0.25">
      <c r="A153" s="5" t="s">
        <v>491</v>
      </c>
      <c r="B153" s="5" t="s">
        <v>468</v>
      </c>
      <c r="E153" t="str">
        <v>Salzgitter Mannesmann (Germany)</v>
      </c>
    </row>
    <row r="154" spans="1:5" ht="16.5" customHeight="1" x14ac:dyDescent="0.25">
      <c r="A154" s="5" t="s">
        <v>491</v>
      </c>
      <c r="B154" s="5" t="s">
        <v>493</v>
      </c>
      <c r="E154" t="str">
        <v>Savant Measurement Corporation</v>
      </c>
    </row>
    <row r="155" spans="1:5" ht="16.5" customHeight="1" x14ac:dyDescent="0.25">
      <c r="A155" s="5" t="s">
        <v>491</v>
      </c>
      <c r="B155" s="5" t="s">
        <v>494</v>
      </c>
      <c r="E155" t="str">
        <v>SeAH Steel (Korea)</v>
      </c>
    </row>
    <row r="156" spans="1:5" ht="16.5" customHeight="1" x14ac:dyDescent="0.25">
      <c r="A156" s="5" t="s">
        <v>495</v>
      </c>
      <c r="B156" s="5" t="s">
        <v>391</v>
      </c>
      <c r="E156" t="str">
        <v>SeAH Steel (USA)</v>
      </c>
    </row>
    <row r="157" spans="1:5" ht="16.5" customHeight="1" x14ac:dyDescent="0.25">
      <c r="A157" s="5" t="s">
        <v>495</v>
      </c>
      <c r="B157" s="5" t="s">
        <v>496</v>
      </c>
      <c r="E157" t="str">
        <v>SealForLife Industries</v>
      </c>
    </row>
    <row r="158" spans="1:5" ht="16.5" customHeight="1" x14ac:dyDescent="0.25">
      <c r="A158" s="5" t="s">
        <v>495</v>
      </c>
      <c r="B158" s="5" t="s">
        <v>471</v>
      </c>
      <c r="E158" t="str">
        <v>Sensit</v>
      </c>
    </row>
    <row r="159" spans="1:5" ht="16.5" customHeight="1" x14ac:dyDescent="0.25">
      <c r="A159" s="5" t="s">
        <v>497</v>
      </c>
      <c r="B159" s="5" t="s">
        <v>484</v>
      </c>
      <c r="E159" t="str">
        <v>Sensus</v>
      </c>
    </row>
    <row r="160" spans="1:5" ht="16.5" customHeight="1" x14ac:dyDescent="0.25">
      <c r="A160" s="5" t="s">
        <v>497</v>
      </c>
      <c r="B160" s="5" t="s">
        <v>390</v>
      </c>
      <c r="E160" t="str">
        <v>Sherwin Williams</v>
      </c>
    </row>
    <row r="161" spans="1:5" ht="16.5" customHeight="1" x14ac:dyDescent="0.25">
      <c r="A161" s="5" t="s">
        <v>498</v>
      </c>
      <c r="B161" s="5" t="s">
        <v>484</v>
      </c>
      <c r="E161" t="str">
        <v>Sick Maihak</v>
      </c>
    </row>
    <row r="162" spans="1:5" ht="16.5" customHeight="1" x14ac:dyDescent="0.25">
      <c r="A162" s="5" t="s">
        <v>498</v>
      </c>
      <c r="B162" s="5" t="s">
        <v>468</v>
      </c>
      <c r="E162" t="str">
        <v>Siderca (Tenaris - Argentina)</v>
      </c>
    </row>
    <row r="163" spans="1:5" ht="16.5" customHeight="1" x14ac:dyDescent="0.25">
      <c r="A163" s="5" t="s">
        <v>498</v>
      </c>
      <c r="B163" s="5" t="s">
        <v>347</v>
      </c>
      <c r="E163" t="str">
        <v>Skinner Compnay</v>
      </c>
    </row>
    <row r="164" spans="1:5" ht="16.5" customHeight="1" x14ac:dyDescent="0.25">
      <c r="A164" s="5" t="s">
        <v>499</v>
      </c>
      <c r="B164" s="5" t="s">
        <v>500</v>
      </c>
      <c r="E164" t="str">
        <v>Smith-Blair, Inc.</v>
      </c>
    </row>
    <row r="165" spans="1:5" ht="16.5" customHeight="1" x14ac:dyDescent="0.25">
      <c r="A165" s="5" t="s">
        <v>499</v>
      </c>
      <c r="B165" s="5" t="s">
        <v>501</v>
      </c>
      <c r="E165" t="str">
        <v>Southwire</v>
      </c>
    </row>
    <row r="166" spans="1:5" ht="16.5" customHeight="1" x14ac:dyDescent="0.25">
      <c r="A166" s="5" t="s">
        <v>499</v>
      </c>
      <c r="B166" s="5" t="s">
        <v>502</v>
      </c>
      <c r="E166" t="str">
        <v>SpectraSensors</v>
      </c>
    </row>
    <row r="167" spans="1:5" ht="16.5" customHeight="1" x14ac:dyDescent="0.25">
      <c r="A167" s="5" t="s">
        <v>499</v>
      </c>
      <c r="B167" s="5" t="s">
        <v>503</v>
      </c>
      <c r="E167" t="str">
        <v>Stark Solutions</v>
      </c>
    </row>
    <row r="168" spans="1:5" ht="16.5" customHeight="1" x14ac:dyDescent="0.25">
      <c r="A168" s="5" t="s">
        <v>499</v>
      </c>
      <c r="B168" s="5" t="s">
        <v>504</v>
      </c>
      <c r="E168" t="str">
        <v>STATS International</v>
      </c>
    </row>
    <row r="169" spans="1:5" ht="16.5" customHeight="1" x14ac:dyDescent="0.25">
      <c r="A169" s="5" t="s">
        <v>505</v>
      </c>
      <c r="B169" s="5" t="s">
        <v>506</v>
      </c>
      <c r="E169" t="str">
        <v>Steel Forgings</v>
      </c>
    </row>
    <row r="170" spans="1:5" ht="16.5" customHeight="1" x14ac:dyDescent="0.25">
      <c r="A170" s="5" t="s">
        <v>505</v>
      </c>
      <c r="B170" s="5" t="s">
        <v>507</v>
      </c>
      <c r="E170" t="str">
        <v>Strongwell</v>
      </c>
    </row>
    <row r="171" spans="1:5" ht="16.5" customHeight="1" x14ac:dyDescent="0.25">
      <c r="A171" s="5" t="s">
        <v>505</v>
      </c>
      <c r="B171" s="5" t="s">
        <v>508</v>
      </c>
      <c r="E171" t="str">
        <v>Stuart Steel</v>
      </c>
    </row>
    <row r="172" spans="1:5" ht="16.5" customHeight="1" x14ac:dyDescent="0.25">
      <c r="A172" s="5" t="s">
        <v>505</v>
      </c>
      <c r="B172" s="5" t="s">
        <v>509</v>
      </c>
      <c r="E172" t="str">
        <v>Swagelok</v>
      </c>
    </row>
    <row r="173" spans="1:5" ht="16.5" customHeight="1" x14ac:dyDescent="0.25">
      <c r="A173" s="5" t="s">
        <v>505</v>
      </c>
      <c r="B173" s="5" t="s">
        <v>510</v>
      </c>
      <c r="E173" t="str">
        <v>TD Williamson</v>
      </c>
    </row>
    <row r="174" spans="1:5" ht="16.5" customHeight="1" x14ac:dyDescent="0.25">
      <c r="A174" s="5" t="s">
        <v>511</v>
      </c>
      <c r="B174" s="5" t="s">
        <v>512</v>
      </c>
      <c r="E174" t="str">
        <v>Tectubi (Allied Group)</v>
      </c>
    </row>
    <row r="175" spans="1:5" ht="16.5" customHeight="1" x14ac:dyDescent="0.25">
      <c r="A175" s="5" t="s">
        <v>511</v>
      </c>
      <c r="B175" s="5" t="s">
        <v>513</v>
      </c>
      <c r="E175" t="str">
        <v>Tenaris</v>
      </c>
    </row>
    <row r="176" spans="1:5" ht="16.5" customHeight="1" x14ac:dyDescent="0.25">
      <c r="A176" s="5" t="s">
        <v>511</v>
      </c>
      <c r="B176" s="5" t="s">
        <v>514</v>
      </c>
      <c r="E176" t="str">
        <v>Tex-Tube Company</v>
      </c>
    </row>
    <row r="177" spans="1:5" ht="16.5" customHeight="1" x14ac:dyDescent="0.25">
      <c r="A177" s="5" t="s">
        <v>511</v>
      </c>
      <c r="B177" s="5" t="s">
        <v>484</v>
      </c>
      <c r="E177" t="str">
        <v>TFA (Tube Forgings of America)</v>
      </c>
    </row>
    <row r="178" spans="1:5" ht="16.5" customHeight="1" x14ac:dyDescent="0.25">
      <c r="A178" s="5" t="s">
        <v>515</v>
      </c>
      <c r="B178" s="5" t="s">
        <v>369</v>
      </c>
      <c r="E178" t="str">
        <v>Titan Flow Control</v>
      </c>
    </row>
    <row r="179" spans="1:5" ht="16.5" customHeight="1" x14ac:dyDescent="0.25">
      <c r="A179" s="5" t="s">
        <v>515</v>
      </c>
      <c r="B179" s="5" t="s">
        <v>513</v>
      </c>
      <c r="E179" t="str">
        <v>TK Valves</v>
      </c>
    </row>
    <row r="180" spans="1:5" ht="16.5" customHeight="1" x14ac:dyDescent="0.25">
      <c r="A180" s="5" t="s">
        <v>515</v>
      </c>
      <c r="B180" s="5" t="s">
        <v>452</v>
      </c>
      <c r="E180" t="str">
        <v>TomWheatley</v>
      </c>
    </row>
    <row r="181" spans="1:5" ht="16.5" customHeight="1" x14ac:dyDescent="0.25">
      <c r="A181" s="5" t="s">
        <v>516</v>
      </c>
      <c r="B181" s="5" t="s">
        <v>405</v>
      </c>
      <c r="E181" t="str">
        <v>Trilad (Allied Group)</v>
      </c>
    </row>
    <row r="182" spans="1:5" ht="16.5" customHeight="1" x14ac:dyDescent="0.25">
      <c r="A182" s="5" t="s">
        <v>516</v>
      </c>
      <c r="B182" s="5" t="s">
        <v>414</v>
      </c>
      <c r="E182" t="str">
        <v>US Gauge (Ametek)</v>
      </c>
    </row>
    <row r="183" spans="1:5" ht="16.5" customHeight="1" x14ac:dyDescent="0.25">
      <c r="A183" s="5" t="s">
        <v>516</v>
      </c>
      <c r="B183" s="5" t="s">
        <v>369</v>
      </c>
      <c r="E183" t="str">
        <v>US Steel</v>
      </c>
    </row>
    <row r="184" spans="1:5" ht="16.5" customHeight="1" x14ac:dyDescent="0.25">
      <c r="A184" s="5" t="s">
        <v>517</v>
      </c>
      <c r="B184" s="5" t="s">
        <v>484</v>
      </c>
      <c r="E184" t="str">
        <v>US Valve</v>
      </c>
    </row>
    <row r="185" spans="1:5" ht="16.5" customHeight="1" x14ac:dyDescent="0.25">
      <c r="A185" s="5" t="s">
        <v>517</v>
      </c>
      <c r="B185" s="5" t="s">
        <v>414</v>
      </c>
      <c r="E185" t="str">
        <v>Utility Solutions Group (USG)</v>
      </c>
    </row>
    <row r="186" spans="1:5" ht="16.5" customHeight="1" x14ac:dyDescent="0.25">
      <c r="A186" s="5" t="s">
        <v>518</v>
      </c>
      <c r="B186" s="5" t="s">
        <v>390</v>
      </c>
      <c r="E186" t="str">
        <v>Vaetrix Engineering</v>
      </c>
    </row>
    <row r="187" spans="1:5" ht="16.5" customHeight="1" x14ac:dyDescent="0.25">
      <c r="A187" s="5" t="s">
        <v>518</v>
      </c>
      <c r="B187" s="5" t="s">
        <v>484</v>
      </c>
      <c r="E187" t="str">
        <v>Vallourec Star</v>
      </c>
    </row>
    <row r="188" spans="1:5" ht="16.5" customHeight="1" x14ac:dyDescent="0.25">
      <c r="A188" s="5" t="s">
        <v>519</v>
      </c>
      <c r="B188" s="5" t="s">
        <v>513</v>
      </c>
      <c r="E188" t="str">
        <v>Val-Tex</v>
      </c>
    </row>
    <row r="189" spans="1:5" ht="16.5" customHeight="1" x14ac:dyDescent="0.25">
      <c r="A189" s="5" t="s">
        <v>519</v>
      </c>
      <c r="B189" s="5" t="s">
        <v>369</v>
      </c>
      <c r="E189" t="str">
        <v>Vortab</v>
      </c>
    </row>
    <row r="190" spans="1:5" ht="16.5" customHeight="1" x14ac:dyDescent="0.25">
      <c r="A190" s="5" t="s">
        <v>520</v>
      </c>
      <c r="B190" s="5" t="s">
        <v>484</v>
      </c>
      <c r="E190" t="str">
        <v>Ward (ASC Engineered Solutions)</v>
      </c>
    </row>
    <row r="191" spans="1:5" ht="16.5" customHeight="1" x14ac:dyDescent="0.25">
      <c r="A191" s="5" t="s">
        <v>520</v>
      </c>
      <c r="B191" s="5" t="s">
        <v>492</v>
      </c>
      <c r="E191" t="str">
        <v>Weamco</v>
      </c>
    </row>
    <row r="192" spans="1:5" ht="16.5" customHeight="1" x14ac:dyDescent="0.25">
      <c r="A192" s="5" t="s">
        <v>520</v>
      </c>
      <c r="B192" s="5" t="s">
        <v>347</v>
      </c>
      <c r="E192" t="str">
        <v>Weldbend</v>
      </c>
    </row>
    <row r="193" spans="1:5" ht="16.5" customHeight="1" x14ac:dyDescent="0.25">
      <c r="A193" s="5" t="s">
        <v>520</v>
      </c>
      <c r="B193" s="5" t="s">
        <v>493</v>
      </c>
      <c r="E193" t="str">
        <v>WeldFit</v>
      </c>
    </row>
    <row r="194" spans="1:5" ht="16.5" customHeight="1" x14ac:dyDescent="0.25">
      <c r="A194" s="5" t="s">
        <v>520</v>
      </c>
      <c r="B194" s="5" t="s">
        <v>468</v>
      </c>
      <c r="E194" t="str">
        <v>Welding Outlets Inc (WOI)</v>
      </c>
    </row>
    <row r="195" spans="1:5" ht="16.5" customHeight="1" x14ac:dyDescent="0.25">
      <c r="A195" s="5" t="s">
        <v>520</v>
      </c>
      <c r="B195" s="5" t="s">
        <v>521</v>
      </c>
      <c r="E195" t="str">
        <v>WFI International (Bonney Forge)</v>
      </c>
    </row>
    <row r="196" spans="1:5" ht="16.5" customHeight="1" x14ac:dyDescent="0.25">
      <c r="A196" s="5" t="s">
        <v>522</v>
      </c>
      <c r="B196" s="5" t="s">
        <v>471</v>
      </c>
      <c r="E196" t="str">
        <v>Wheatley</v>
      </c>
    </row>
    <row r="197" spans="1:5" ht="16.5" customHeight="1" x14ac:dyDescent="0.25">
      <c r="A197" s="5" t="s">
        <v>522</v>
      </c>
      <c r="B197" s="5" t="s">
        <v>523</v>
      </c>
      <c r="E197" t="str">
        <v>WIKA</v>
      </c>
    </row>
    <row r="198" spans="1:5" ht="16.5" customHeight="1" x14ac:dyDescent="0.25">
      <c r="A198" s="5" t="s">
        <v>524</v>
      </c>
      <c r="B198" s="5" t="s">
        <v>484</v>
      </c>
      <c r="E198" t="str">
        <v>Winters Instruments</v>
      </c>
    </row>
    <row r="199" spans="1:5" ht="16.5" customHeight="1" x14ac:dyDescent="0.25">
      <c r="A199" s="5" t="s">
        <v>524</v>
      </c>
      <c r="B199" s="5" t="s">
        <v>347</v>
      </c>
      <c r="E199" t="str">
        <v>WKM</v>
      </c>
    </row>
    <row r="200" spans="1:5" ht="16.5" customHeight="1" x14ac:dyDescent="0.25">
      <c r="A200" s="5" t="s">
        <v>524</v>
      </c>
      <c r="B200" s="5" t="s">
        <v>468</v>
      </c>
      <c r="E200" t="str">
        <v>WL Plastics</v>
      </c>
    </row>
    <row r="201" spans="1:5" ht="16.5" customHeight="1" x14ac:dyDescent="0.25">
      <c r="A201" s="5" t="s">
        <v>525</v>
      </c>
      <c r="B201" s="5" t="s">
        <v>496</v>
      </c>
      <c r="E201" t="str">
        <v>Wolar Industrial</v>
      </c>
    </row>
    <row r="202" spans="1:5" ht="16.5" customHeight="1" x14ac:dyDescent="0.25">
      <c r="A202" s="5" t="s">
        <v>525</v>
      </c>
      <c r="B202" s="5" t="s">
        <v>526</v>
      </c>
      <c r="E202" t="str">
        <v>Yale (NOV)</v>
      </c>
    </row>
    <row r="203" spans="1:5" ht="16.5" customHeight="1" x14ac:dyDescent="0.25">
      <c r="A203" s="5" t="s">
        <v>525</v>
      </c>
      <c r="B203" s="5" t="s">
        <v>527</v>
      </c>
      <c r="E203" t="str">
        <v>YZ Systems</v>
      </c>
    </row>
    <row r="204" spans="1:5" ht="16.5" customHeight="1" x14ac:dyDescent="0.25">
      <c r="A204" s="5" t="s">
        <v>525</v>
      </c>
      <c r="B204" s="5" t="s">
        <v>405</v>
      </c>
      <c r="E204">
        <v>0</v>
      </c>
    </row>
    <row r="205" spans="1:5" ht="16.5" customHeight="1" x14ac:dyDescent="0.25">
      <c r="A205" s="5" t="s">
        <v>528</v>
      </c>
      <c r="B205" s="5" t="s">
        <v>496</v>
      </c>
    </row>
    <row r="206" spans="1:5" ht="16.5" customHeight="1" x14ac:dyDescent="0.25">
      <c r="A206" s="5" t="s">
        <v>528</v>
      </c>
      <c r="B206" s="5" t="s">
        <v>529</v>
      </c>
    </row>
    <row r="207" spans="1:5" ht="16.5" customHeight="1" x14ac:dyDescent="0.25">
      <c r="A207" s="5" t="s">
        <v>528</v>
      </c>
      <c r="B207" s="5" t="s">
        <v>530</v>
      </c>
    </row>
    <row r="208" spans="1:5" ht="16.5" customHeight="1" x14ac:dyDescent="0.25">
      <c r="A208" s="5" t="s">
        <v>528</v>
      </c>
      <c r="B208" s="5" t="s">
        <v>471</v>
      </c>
    </row>
    <row r="209" spans="1:2" ht="16.5" customHeight="1" x14ac:dyDescent="0.25">
      <c r="A209" s="5" t="s">
        <v>531</v>
      </c>
      <c r="B209" s="5" t="s">
        <v>471</v>
      </c>
    </row>
    <row r="210" spans="1:2" ht="16.5" customHeight="1" x14ac:dyDescent="0.25">
      <c r="A210" s="5" t="s">
        <v>531</v>
      </c>
      <c r="B210" s="5" t="s">
        <v>369</v>
      </c>
    </row>
    <row r="211" spans="1:2" ht="16.5" customHeight="1" x14ac:dyDescent="0.25">
      <c r="A211" s="5" t="s">
        <v>532</v>
      </c>
      <c r="B211" s="5" t="s">
        <v>471</v>
      </c>
    </row>
    <row r="212" spans="1:2" ht="16.5" customHeight="1" x14ac:dyDescent="0.25">
      <c r="A212" s="5" t="s">
        <v>532</v>
      </c>
      <c r="B212" s="5" t="s">
        <v>533</v>
      </c>
    </row>
    <row r="213" spans="1:2" ht="16.5" customHeight="1" x14ac:dyDescent="0.25">
      <c r="A213" s="5" t="s">
        <v>532</v>
      </c>
      <c r="B213" s="5" t="s">
        <v>534</v>
      </c>
    </row>
    <row r="214" spans="1:2" ht="16.5" customHeight="1" x14ac:dyDescent="0.25">
      <c r="A214" s="5" t="s">
        <v>535</v>
      </c>
      <c r="B214" s="5" t="s">
        <v>536</v>
      </c>
    </row>
    <row r="215" spans="1:2" ht="16.5" customHeight="1" x14ac:dyDescent="0.25">
      <c r="A215" s="5" t="s">
        <v>535</v>
      </c>
      <c r="B215" s="5" t="s">
        <v>537</v>
      </c>
    </row>
    <row r="216" spans="1:2" ht="16.5" customHeight="1" x14ac:dyDescent="0.25">
      <c r="A216" s="5" t="s">
        <v>538</v>
      </c>
      <c r="B216" s="5" t="s">
        <v>471</v>
      </c>
    </row>
    <row r="217" spans="1:2" ht="16.5" customHeight="1" x14ac:dyDescent="0.25">
      <c r="A217" s="5" t="s">
        <v>538</v>
      </c>
      <c r="B217" s="5" t="s">
        <v>539</v>
      </c>
    </row>
    <row r="218" spans="1:2" ht="16.5" customHeight="1" x14ac:dyDescent="0.25">
      <c r="A218" s="5" t="s">
        <v>540</v>
      </c>
      <c r="B218" s="5" t="s">
        <v>537</v>
      </c>
    </row>
    <row r="219" spans="1:2" ht="16.5" customHeight="1" x14ac:dyDescent="0.25">
      <c r="A219" s="5" t="s">
        <v>541</v>
      </c>
      <c r="B219" s="5" t="s">
        <v>431</v>
      </c>
    </row>
    <row r="220" spans="1:2" ht="16.5" customHeight="1" x14ac:dyDescent="0.25">
      <c r="A220" s="5" t="s">
        <v>541</v>
      </c>
      <c r="B220" s="5" t="s">
        <v>542</v>
      </c>
    </row>
    <row r="221" spans="1:2" ht="16.5" customHeight="1" x14ac:dyDescent="0.25">
      <c r="A221" s="5" t="s">
        <v>543</v>
      </c>
      <c r="B221" s="5" t="s">
        <v>544</v>
      </c>
    </row>
    <row r="222" spans="1:2" ht="16.5" customHeight="1" x14ac:dyDescent="0.25">
      <c r="A222" s="5" t="s">
        <v>543</v>
      </c>
      <c r="B222" s="5" t="s">
        <v>545</v>
      </c>
    </row>
    <row r="223" spans="1:2" ht="16.5" customHeight="1" x14ac:dyDescent="0.25">
      <c r="A223" s="5" t="s">
        <v>543</v>
      </c>
      <c r="B223" s="5" t="s">
        <v>546</v>
      </c>
    </row>
    <row r="224" spans="1:2" ht="16.5" customHeight="1" x14ac:dyDescent="0.25">
      <c r="A224" s="5" t="s">
        <v>543</v>
      </c>
      <c r="B224" s="5" t="s">
        <v>547</v>
      </c>
    </row>
    <row r="225" spans="1:2" ht="16.5" customHeight="1" x14ac:dyDescent="0.25">
      <c r="A225" s="5" t="s">
        <v>543</v>
      </c>
      <c r="B225" s="5" t="s">
        <v>401</v>
      </c>
    </row>
    <row r="226" spans="1:2" ht="16.5" customHeight="1" x14ac:dyDescent="0.25">
      <c r="A226" s="5" t="s">
        <v>543</v>
      </c>
      <c r="B226" s="5" t="s">
        <v>537</v>
      </c>
    </row>
    <row r="227" spans="1:2" ht="16.5" customHeight="1" x14ac:dyDescent="0.25">
      <c r="A227" s="5" t="s">
        <v>543</v>
      </c>
      <c r="B227" s="5" t="s">
        <v>548</v>
      </c>
    </row>
    <row r="228" spans="1:2" ht="16.5" customHeight="1" x14ac:dyDescent="0.25">
      <c r="A228" s="5" t="s">
        <v>543</v>
      </c>
      <c r="B228" s="5" t="s">
        <v>546</v>
      </c>
    </row>
    <row r="229" spans="1:2" ht="16.5" customHeight="1" x14ac:dyDescent="0.25">
      <c r="A229" s="5" t="s">
        <v>543</v>
      </c>
      <c r="B229" s="5" t="s">
        <v>549</v>
      </c>
    </row>
    <row r="230" spans="1:2" ht="16.5" customHeight="1" x14ac:dyDescent="0.25">
      <c r="A230" s="5" t="s">
        <v>543</v>
      </c>
      <c r="B230" s="5" t="s">
        <v>536</v>
      </c>
    </row>
    <row r="231" spans="1:2" ht="16.5" customHeight="1" x14ac:dyDescent="0.25">
      <c r="A231" s="5" t="s">
        <v>543</v>
      </c>
      <c r="B231" s="5" t="s">
        <v>550</v>
      </c>
    </row>
    <row r="232" spans="1:2" ht="16.5" customHeight="1" x14ac:dyDescent="0.25">
      <c r="A232" s="5" t="s">
        <v>551</v>
      </c>
      <c r="B232" s="5" t="s">
        <v>373</v>
      </c>
    </row>
    <row r="233" spans="1:2" ht="16.5" customHeight="1" x14ac:dyDescent="0.25">
      <c r="A233" s="5" t="s">
        <v>551</v>
      </c>
      <c r="B233" s="5" t="s">
        <v>552</v>
      </c>
    </row>
    <row r="234" spans="1:2" ht="16.5" customHeight="1" x14ac:dyDescent="0.25">
      <c r="A234" s="5" t="s">
        <v>551</v>
      </c>
      <c r="B234" s="5" t="s">
        <v>399</v>
      </c>
    </row>
    <row r="235" spans="1:2" ht="16.5" customHeight="1" x14ac:dyDescent="0.25">
      <c r="A235" s="5" t="s">
        <v>551</v>
      </c>
      <c r="B235" s="5" t="s">
        <v>553</v>
      </c>
    </row>
    <row r="236" spans="1:2" ht="16.5" customHeight="1" x14ac:dyDescent="0.25">
      <c r="A236" s="5" t="s">
        <v>551</v>
      </c>
      <c r="B236" s="5" t="s">
        <v>554</v>
      </c>
    </row>
    <row r="237" spans="1:2" ht="16.5" customHeight="1" x14ac:dyDescent="0.25">
      <c r="A237" s="5" t="s">
        <v>551</v>
      </c>
      <c r="B237" s="5" t="s">
        <v>555</v>
      </c>
    </row>
    <row r="238" spans="1:2" ht="16.5" customHeight="1" x14ac:dyDescent="0.25">
      <c r="A238" s="5" t="s">
        <v>551</v>
      </c>
      <c r="B238" s="5" t="s">
        <v>556</v>
      </c>
    </row>
    <row r="239" spans="1:2" ht="16.5" customHeight="1" x14ac:dyDescent="0.25">
      <c r="A239" s="5" t="s">
        <v>551</v>
      </c>
      <c r="B239" s="5" t="s">
        <v>379</v>
      </c>
    </row>
    <row r="240" spans="1:2" ht="16.5" customHeight="1" x14ac:dyDescent="0.25">
      <c r="A240" s="5" t="s">
        <v>551</v>
      </c>
      <c r="B240" s="5" t="s">
        <v>468</v>
      </c>
    </row>
    <row r="241" spans="1:2" ht="16.5" customHeight="1" x14ac:dyDescent="0.25">
      <c r="A241" s="5" t="s">
        <v>557</v>
      </c>
      <c r="B241" s="5" t="s">
        <v>431</v>
      </c>
    </row>
    <row r="242" spans="1:2" ht="16.5" customHeight="1" x14ac:dyDescent="0.25">
      <c r="A242" s="5" t="s">
        <v>557</v>
      </c>
      <c r="B242" s="5" t="s">
        <v>558</v>
      </c>
    </row>
    <row r="243" spans="1:2" ht="16.5" customHeight="1" x14ac:dyDescent="0.25">
      <c r="A243" s="5" t="s">
        <v>557</v>
      </c>
      <c r="B243" s="5" t="s">
        <v>559</v>
      </c>
    </row>
    <row r="244" spans="1:2" ht="16.5" customHeight="1" x14ac:dyDescent="0.25">
      <c r="A244" s="5" t="s">
        <v>560</v>
      </c>
      <c r="B244" s="5" t="s">
        <v>484</v>
      </c>
    </row>
    <row r="245" spans="1:2" ht="16.5" customHeight="1" x14ac:dyDescent="0.25">
      <c r="A245" s="5" t="s">
        <v>560</v>
      </c>
      <c r="B245" s="5" t="s">
        <v>561</v>
      </c>
    </row>
    <row r="246" spans="1:2" ht="16.5" customHeight="1" x14ac:dyDescent="0.25">
      <c r="A246" s="5" t="s">
        <v>562</v>
      </c>
      <c r="B246" s="5" t="s">
        <v>563</v>
      </c>
    </row>
    <row r="247" spans="1:2" ht="16.5" customHeight="1" x14ac:dyDescent="0.25">
      <c r="A247" s="5" t="s">
        <v>564</v>
      </c>
      <c r="B247" s="5" t="s">
        <v>471</v>
      </c>
    </row>
    <row r="248" spans="1:2" ht="16.5" customHeight="1" x14ac:dyDescent="0.25">
      <c r="A248" s="5" t="s">
        <v>564</v>
      </c>
      <c r="B248" s="5" t="s">
        <v>468</v>
      </c>
    </row>
    <row r="249" spans="1:2" ht="16.5" customHeight="1" x14ac:dyDescent="0.25">
      <c r="A249" s="5" t="s">
        <v>562</v>
      </c>
      <c r="B249" s="5" t="s">
        <v>565</v>
      </c>
    </row>
    <row r="250" spans="1:2" ht="16.5" customHeight="1" x14ac:dyDescent="0.25">
      <c r="A250" s="5" t="s">
        <v>566</v>
      </c>
      <c r="B250" s="5" t="s">
        <v>484</v>
      </c>
    </row>
    <row r="251" spans="1:2" ht="16.5" customHeight="1" x14ac:dyDescent="0.25">
      <c r="A251" s="5" t="s">
        <v>566</v>
      </c>
      <c r="B251" s="5" t="s">
        <v>468</v>
      </c>
    </row>
    <row r="252" spans="1:2" ht="16.5" customHeight="1" x14ac:dyDescent="0.25">
      <c r="A252" s="5" t="s">
        <v>567</v>
      </c>
      <c r="B252" s="5" t="s">
        <v>468</v>
      </c>
    </row>
    <row r="253" spans="1:2" ht="16.5" customHeight="1" x14ac:dyDescent="0.25">
      <c r="A253" s="5" t="s">
        <v>568</v>
      </c>
      <c r="B253" s="5" t="s">
        <v>563</v>
      </c>
    </row>
    <row r="254" spans="1:2" ht="16.5" customHeight="1" x14ac:dyDescent="0.25">
      <c r="A254" s="5" t="s">
        <v>568</v>
      </c>
      <c r="B254" s="5" t="s">
        <v>565</v>
      </c>
    </row>
    <row r="255" spans="1:2" ht="16.5" customHeight="1" x14ac:dyDescent="0.25">
      <c r="A255" s="5" t="s">
        <v>567</v>
      </c>
      <c r="B255" s="5" t="s">
        <v>471</v>
      </c>
    </row>
    <row r="256" spans="1:2" ht="16.5" customHeight="1" x14ac:dyDescent="0.25">
      <c r="A256" s="5" t="s">
        <v>567</v>
      </c>
      <c r="B256" s="5" t="s">
        <v>484</v>
      </c>
    </row>
    <row r="257" spans="1:2" ht="16.5" customHeight="1" x14ac:dyDescent="0.25">
      <c r="A257" s="5" t="s">
        <v>569</v>
      </c>
      <c r="B257" s="5" t="s">
        <v>570</v>
      </c>
    </row>
    <row r="258" spans="1:2" ht="16.5" customHeight="1" x14ac:dyDescent="0.25">
      <c r="A258" s="5" t="s">
        <v>569</v>
      </c>
      <c r="B258" s="5" t="s">
        <v>571</v>
      </c>
    </row>
    <row r="259" spans="1:2" ht="16.5" customHeight="1" x14ac:dyDescent="0.25">
      <c r="A259" s="5" t="s">
        <v>569</v>
      </c>
      <c r="B259" s="5" t="s">
        <v>572</v>
      </c>
    </row>
    <row r="260" spans="1:2" ht="16.5" customHeight="1" x14ac:dyDescent="0.25">
      <c r="A260" s="5" t="s">
        <v>569</v>
      </c>
      <c r="B260" s="5" t="s">
        <v>431</v>
      </c>
    </row>
    <row r="261" spans="1:2" ht="16.5" customHeight="1" x14ac:dyDescent="0.25">
      <c r="A261" s="5" t="s">
        <v>573</v>
      </c>
      <c r="B261" s="5" t="s">
        <v>574</v>
      </c>
    </row>
    <row r="262" spans="1:2" ht="16.5" customHeight="1" x14ac:dyDescent="0.25">
      <c r="A262" s="5" t="s">
        <v>575</v>
      </c>
      <c r="B262" s="5" t="s">
        <v>431</v>
      </c>
    </row>
    <row r="263" spans="1:2" ht="16.5" customHeight="1" x14ac:dyDescent="0.25">
      <c r="A263" s="5" t="s">
        <v>575</v>
      </c>
      <c r="B263" s="5" t="s">
        <v>576</v>
      </c>
    </row>
    <row r="264" spans="1:2" ht="16.5" customHeight="1" x14ac:dyDescent="0.25">
      <c r="A264" s="5" t="s">
        <v>575</v>
      </c>
      <c r="B264" s="5" t="s">
        <v>577</v>
      </c>
    </row>
    <row r="265" spans="1:2" ht="16.5" customHeight="1" x14ac:dyDescent="0.25">
      <c r="A265" s="5" t="s">
        <v>578</v>
      </c>
      <c r="B265" s="5" t="s">
        <v>579</v>
      </c>
    </row>
    <row r="266" spans="1:2" ht="16.5" customHeight="1" x14ac:dyDescent="0.25">
      <c r="A266" s="5" t="s">
        <v>580</v>
      </c>
      <c r="B266" s="5" t="s">
        <v>581</v>
      </c>
    </row>
    <row r="267" spans="1:2" ht="16.5" customHeight="1" x14ac:dyDescent="0.25">
      <c r="A267" s="5" t="s">
        <v>582</v>
      </c>
      <c r="B267" s="5" t="s">
        <v>583</v>
      </c>
    </row>
    <row r="268" spans="1:2" ht="16.5" customHeight="1" x14ac:dyDescent="0.25">
      <c r="A268" s="5" t="s">
        <v>584</v>
      </c>
      <c r="B268" s="5" t="s">
        <v>585</v>
      </c>
    </row>
    <row r="269" spans="1:2" ht="16.5" customHeight="1" x14ac:dyDescent="0.25">
      <c r="A269" s="5" t="s">
        <v>584</v>
      </c>
      <c r="B269" s="5" t="s">
        <v>586</v>
      </c>
    </row>
    <row r="270" spans="1:2" ht="16.5" customHeight="1" x14ac:dyDescent="0.25">
      <c r="A270" s="5" t="s">
        <v>587</v>
      </c>
      <c r="B270" s="5" t="s">
        <v>588</v>
      </c>
    </row>
    <row r="271" spans="1:2" ht="16.5" customHeight="1" x14ac:dyDescent="0.25">
      <c r="A271" s="5" t="s">
        <v>589</v>
      </c>
      <c r="B271" s="5" t="s">
        <v>590</v>
      </c>
    </row>
    <row r="272" spans="1:2" ht="16.5" customHeight="1" x14ac:dyDescent="0.25">
      <c r="A272" s="5" t="s">
        <v>589</v>
      </c>
      <c r="B272" s="5" t="s">
        <v>591</v>
      </c>
    </row>
    <row r="273" spans="1:2" ht="16.5" customHeight="1" x14ac:dyDescent="0.25">
      <c r="A273" s="5" t="s">
        <v>589</v>
      </c>
      <c r="B273" s="5" t="s">
        <v>592</v>
      </c>
    </row>
    <row r="274" spans="1:2" ht="16.5" customHeight="1" x14ac:dyDescent="0.25">
      <c r="A274" s="5" t="s">
        <v>589</v>
      </c>
      <c r="B274" s="5" t="s">
        <v>593</v>
      </c>
    </row>
    <row r="275" spans="1:2" ht="16.5" customHeight="1" x14ac:dyDescent="0.25">
      <c r="A275" s="5" t="s">
        <v>589</v>
      </c>
      <c r="B275" s="5" t="s">
        <v>406</v>
      </c>
    </row>
    <row r="276" spans="1:2" ht="16.5" customHeight="1" x14ac:dyDescent="0.25">
      <c r="A276" s="5" t="s">
        <v>594</v>
      </c>
      <c r="B276" s="5" t="s">
        <v>595</v>
      </c>
    </row>
    <row r="277" spans="1:2" ht="16.5" customHeight="1" x14ac:dyDescent="0.25">
      <c r="A277" s="5" t="s">
        <v>594</v>
      </c>
      <c r="B277" s="5" t="s">
        <v>596</v>
      </c>
    </row>
    <row r="278" spans="1:2" ht="16.5" customHeight="1" x14ac:dyDescent="0.25">
      <c r="A278" s="5" t="s">
        <v>594</v>
      </c>
      <c r="B278" s="5" t="s">
        <v>597</v>
      </c>
    </row>
    <row r="279" spans="1:2" ht="16.5" customHeight="1" x14ac:dyDescent="0.25">
      <c r="A279" s="5" t="s">
        <v>594</v>
      </c>
      <c r="B279" s="5" t="s">
        <v>598</v>
      </c>
    </row>
    <row r="280" spans="1:2" ht="16.5" customHeight="1" x14ac:dyDescent="0.25">
      <c r="A280" s="5" t="s">
        <v>594</v>
      </c>
      <c r="B280" s="5" t="s">
        <v>500</v>
      </c>
    </row>
    <row r="281" spans="1:2" ht="16.5" customHeight="1" x14ac:dyDescent="0.25">
      <c r="A281" s="5" t="s">
        <v>594</v>
      </c>
      <c r="B281" s="5" t="s">
        <v>599</v>
      </c>
    </row>
    <row r="282" spans="1:2" ht="16.5" customHeight="1" x14ac:dyDescent="0.25">
      <c r="A282" s="5" t="s">
        <v>594</v>
      </c>
      <c r="B282" s="5" t="s">
        <v>600</v>
      </c>
    </row>
    <row r="283" spans="1:2" ht="16.5" customHeight="1" x14ac:dyDescent="0.25">
      <c r="A283" s="5" t="s">
        <v>601</v>
      </c>
      <c r="B283" s="5" t="s">
        <v>602</v>
      </c>
    </row>
    <row r="284" spans="1:2" ht="16.5" customHeight="1" x14ac:dyDescent="0.25">
      <c r="A284" s="5" t="s">
        <v>601</v>
      </c>
      <c r="B284" s="5" t="s">
        <v>603</v>
      </c>
    </row>
    <row r="285" spans="1:2" ht="16.5" customHeight="1" x14ac:dyDescent="0.25">
      <c r="A285" s="5" t="s">
        <v>601</v>
      </c>
      <c r="B285" s="5" t="s">
        <v>604</v>
      </c>
    </row>
    <row r="286" spans="1:2" ht="16.5" customHeight="1" x14ac:dyDescent="0.25">
      <c r="A286" s="5" t="s">
        <v>601</v>
      </c>
      <c r="B286" s="5" t="s">
        <v>605</v>
      </c>
    </row>
    <row r="287" spans="1:2" ht="16.5" customHeight="1" x14ac:dyDescent="0.25">
      <c r="A287" s="5" t="s">
        <v>601</v>
      </c>
      <c r="B287" s="5" t="s">
        <v>606</v>
      </c>
    </row>
    <row r="288" spans="1:2" ht="16.5" customHeight="1" x14ac:dyDescent="0.25">
      <c r="A288" s="5" t="s">
        <v>601</v>
      </c>
      <c r="B288" s="5" t="s">
        <v>607</v>
      </c>
    </row>
    <row r="289" spans="1:2" ht="16.5" customHeight="1" x14ac:dyDescent="0.25">
      <c r="A289" s="5" t="s">
        <v>601</v>
      </c>
      <c r="B289" s="5" t="s">
        <v>608</v>
      </c>
    </row>
    <row r="290" spans="1:2" ht="16.5" customHeight="1" x14ac:dyDescent="0.25">
      <c r="A290" s="5" t="s">
        <v>601</v>
      </c>
      <c r="B290" s="5" t="s">
        <v>609</v>
      </c>
    </row>
    <row r="291" spans="1:2" ht="16.5" customHeight="1" x14ac:dyDescent="0.25">
      <c r="A291" s="5" t="s">
        <v>601</v>
      </c>
      <c r="B291" s="5" t="s">
        <v>610</v>
      </c>
    </row>
    <row r="292" spans="1:2" ht="16.5" customHeight="1" x14ac:dyDescent="0.25">
      <c r="A292" s="5" t="s">
        <v>611</v>
      </c>
      <c r="B292" s="5" t="s">
        <v>612</v>
      </c>
    </row>
    <row r="293" spans="1:2" ht="16.5" customHeight="1" x14ac:dyDescent="0.25">
      <c r="A293" s="5" t="s">
        <v>613</v>
      </c>
      <c r="B293" s="5" t="s">
        <v>502</v>
      </c>
    </row>
    <row r="294" spans="1:2" ht="16.5" customHeight="1" x14ac:dyDescent="0.25">
      <c r="A294" s="5" t="s">
        <v>613</v>
      </c>
      <c r="B294" s="5" t="s">
        <v>614</v>
      </c>
    </row>
    <row r="295" spans="1:2" ht="16.5" customHeight="1" x14ac:dyDescent="0.25">
      <c r="A295" s="5" t="s">
        <v>613</v>
      </c>
      <c r="B295" s="5" t="s">
        <v>615</v>
      </c>
    </row>
    <row r="296" spans="1:2" ht="16.5" customHeight="1" x14ac:dyDescent="0.25">
      <c r="A296" s="5" t="s">
        <v>616</v>
      </c>
      <c r="B296" s="5" t="s">
        <v>484</v>
      </c>
    </row>
    <row r="297" spans="1:2" ht="16.5" customHeight="1" x14ac:dyDescent="0.25">
      <c r="A297" s="5" t="s">
        <v>616</v>
      </c>
      <c r="B297" s="5" t="s">
        <v>468</v>
      </c>
    </row>
    <row r="298" spans="1:2" ht="16.5" customHeight="1" x14ac:dyDescent="0.25">
      <c r="A298" s="5" t="s">
        <v>617</v>
      </c>
      <c r="B298" s="5" t="s">
        <v>618</v>
      </c>
    </row>
    <row r="299" spans="1:2" ht="16.5" customHeight="1" x14ac:dyDescent="0.25">
      <c r="A299" s="5" t="s">
        <v>617</v>
      </c>
      <c r="B299" s="5" t="s">
        <v>398</v>
      </c>
    </row>
    <row r="300" spans="1:2" ht="16.5" customHeight="1" x14ac:dyDescent="0.25">
      <c r="A300" s="5" t="s">
        <v>619</v>
      </c>
      <c r="B300" s="5" t="s">
        <v>399</v>
      </c>
    </row>
    <row r="301" spans="1:2" ht="16.5" customHeight="1" x14ac:dyDescent="0.25">
      <c r="A301" s="5" t="s">
        <v>619</v>
      </c>
      <c r="B301" s="5" t="s">
        <v>552</v>
      </c>
    </row>
    <row r="302" spans="1:2" ht="16.5" customHeight="1" x14ac:dyDescent="0.25">
      <c r="A302" s="5" t="s">
        <v>619</v>
      </c>
      <c r="B302" s="5" t="s">
        <v>620</v>
      </c>
    </row>
    <row r="303" spans="1:2" ht="16.5" customHeight="1" x14ac:dyDescent="0.25">
      <c r="A303" s="5" t="s">
        <v>621</v>
      </c>
      <c r="B303" s="5" t="s">
        <v>466</v>
      </c>
    </row>
    <row r="304" spans="1:2" ht="16.5" customHeight="1" x14ac:dyDescent="0.25">
      <c r="A304" s="5" t="s">
        <v>621</v>
      </c>
      <c r="B304" s="5" t="s">
        <v>620</v>
      </c>
    </row>
    <row r="305" spans="1:2" ht="16.5" customHeight="1" x14ac:dyDescent="0.25">
      <c r="A305" s="5" t="s">
        <v>621</v>
      </c>
      <c r="B305" s="5" t="s">
        <v>622</v>
      </c>
    </row>
    <row r="306" spans="1:2" ht="16.5" customHeight="1" x14ac:dyDescent="0.25">
      <c r="A306" s="5" t="s">
        <v>621</v>
      </c>
      <c r="B306" s="5" t="s">
        <v>399</v>
      </c>
    </row>
    <row r="307" spans="1:2" ht="16.5" customHeight="1" x14ac:dyDescent="0.25">
      <c r="A307" s="5" t="s">
        <v>621</v>
      </c>
      <c r="B307" s="5" t="s">
        <v>552</v>
      </c>
    </row>
    <row r="308" spans="1:2" ht="16.5" customHeight="1" x14ac:dyDescent="0.25">
      <c r="A308" s="5" t="s">
        <v>621</v>
      </c>
      <c r="B308" s="5" t="s">
        <v>623</v>
      </c>
    </row>
    <row r="309" spans="1:2" ht="16.5" customHeight="1" x14ac:dyDescent="0.25">
      <c r="A309" s="5" t="s">
        <v>621</v>
      </c>
      <c r="B309" s="5" t="s">
        <v>624</v>
      </c>
    </row>
  </sheetData>
  <sheetProtection algorithmName="SHA-512" hashValue="HEso+3R69O2M6JlNaBLb+s9g562SupRIDJtmuC3Z2cF9onrwXuLrYz4d4BPBtz57cog/gO/4ouRetOisd0eDPw==" saltValue="HMIkqNlaLOzq50+CG0FBJw==" spinCount="100000" sheet="1" objects="1" scenario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906B-03F6-4F27-9EBD-35ACF07BB9D9}">
  <sheetPr codeName="Sheet9"/>
  <dimension ref="A1:C241"/>
  <sheetViews>
    <sheetView workbookViewId="0">
      <selection activeCell="C44" sqref="C44:C241"/>
    </sheetView>
  </sheetViews>
  <sheetFormatPr defaultRowHeight="15" x14ac:dyDescent="0.25"/>
  <cols>
    <col min="1" max="1" width="25.5703125" bestFit="1" customWidth="1"/>
    <col min="3" max="3" width="46.85546875" bestFit="1" customWidth="1"/>
  </cols>
  <sheetData>
    <row r="1" spans="1:1" x14ac:dyDescent="0.25">
      <c r="A1" s="1" t="s">
        <v>36</v>
      </c>
    </row>
    <row r="2" spans="1:1" x14ac:dyDescent="0.25">
      <c r="A2" s="1" t="s">
        <v>37</v>
      </c>
    </row>
    <row r="3" spans="1:1" x14ac:dyDescent="0.25">
      <c r="A3" s="1" t="s">
        <v>38</v>
      </c>
    </row>
    <row r="4" spans="1:1" x14ac:dyDescent="0.25">
      <c r="A4" s="1" t="s">
        <v>39</v>
      </c>
    </row>
    <row r="5" spans="1:1" x14ac:dyDescent="0.25">
      <c r="A5" s="1" t="s">
        <v>40</v>
      </c>
    </row>
    <row r="6" spans="1:1" x14ac:dyDescent="0.25">
      <c r="A6" s="1" t="s">
        <v>41</v>
      </c>
    </row>
    <row r="7" spans="1:1" x14ac:dyDescent="0.25">
      <c r="A7" s="1" t="s">
        <v>42</v>
      </c>
    </row>
    <row r="8" spans="1:1" x14ac:dyDescent="0.25">
      <c r="A8" s="1" t="s">
        <v>43</v>
      </c>
    </row>
    <row r="9" spans="1:1" x14ac:dyDescent="0.25">
      <c r="A9" s="1" t="s">
        <v>44</v>
      </c>
    </row>
    <row r="10" spans="1:1" x14ac:dyDescent="0.25">
      <c r="A10" s="1" t="s">
        <v>45</v>
      </c>
    </row>
    <row r="11" spans="1:1" x14ac:dyDescent="0.25">
      <c r="A11" s="1" t="s">
        <v>46</v>
      </c>
    </row>
    <row r="12" spans="1:1" x14ac:dyDescent="0.25">
      <c r="A12" s="1" t="s">
        <v>47</v>
      </c>
    </row>
    <row r="13" spans="1:1" x14ac:dyDescent="0.25">
      <c r="A13" s="1" t="s">
        <v>48</v>
      </c>
    </row>
    <row r="14" spans="1:1" x14ac:dyDescent="0.25">
      <c r="A14" s="1" t="s">
        <v>49</v>
      </c>
    </row>
    <row r="15" spans="1:1" x14ac:dyDescent="0.25">
      <c r="A15" s="1" t="s">
        <v>50</v>
      </c>
    </row>
    <row r="16" spans="1:1" x14ac:dyDescent="0.25">
      <c r="A16" s="1" t="s">
        <v>51</v>
      </c>
    </row>
    <row r="17" spans="1:1" x14ac:dyDescent="0.25">
      <c r="A17" s="1" t="s">
        <v>52</v>
      </c>
    </row>
    <row r="18" spans="1:1" x14ac:dyDescent="0.25">
      <c r="A18" s="1" t="s">
        <v>53</v>
      </c>
    </row>
    <row r="19" spans="1:1" x14ac:dyDescent="0.25">
      <c r="A19" s="1" t="s">
        <v>54</v>
      </c>
    </row>
    <row r="20" spans="1:1" x14ac:dyDescent="0.25">
      <c r="A20" s="1" t="s">
        <v>55</v>
      </c>
    </row>
    <row r="21" spans="1:1" x14ac:dyDescent="0.25">
      <c r="A21" s="1" t="s">
        <v>56</v>
      </c>
    </row>
    <row r="22" spans="1:1" x14ac:dyDescent="0.25">
      <c r="A22" s="1" t="s">
        <v>57</v>
      </c>
    </row>
    <row r="23" spans="1:1" x14ac:dyDescent="0.25">
      <c r="A23" s="1" t="s">
        <v>58</v>
      </c>
    </row>
    <row r="24" spans="1:1" x14ac:dyDescent="0.25">
      <c r="A24" s="1" t="s">
        <v>59</v>
      </c>
    </row>
    <row r="25" spans="1:1" x14ac:dyDescent="0.25">
      <c r="A25" s="1" t="s">
        <v>60</v>
      </c>
    </row>
    <row r="26" spans="1:1" x14ac:dyDescent="0.25">
      <c r="A26" s="1" t="s">
        <v>61</v>
      </c>
    </row>
    <row r="27" spans="1:1" x14ac:dyDescent="0.25">
      <c r="A27" s="1" t="s">
        <v>62</v>
      </c>
    </row>
    <row r="28" spans="1:1" x14ac:dyDescent="0.25">
      <c r="A28" s="1" t="s">
        <v>63</v>
      </c>
    </row>
    <row r="29" spans="1:1" x14ac:dyDescent="0.25">
      <c r="A29" s="1" t="s">
        <v>64</v>
      </c>
    </row>
    <row r="30" spans="1:1" x14ac:dyDescent="0.25">
      <c r="A30" s="1" t="s">
        <v>65</v>
      </c>
    </row>
    <row r="31" spans="1:1" x14ac:dyDescent="0.25">
      <c r="A31" s="1" t="s">
        <v>66</v>
      </c>
    </row>
    <row r="32" spans="1:1" x14ac:dyDescent="0.25">
      <c r="A32" s="1" t="s">
        <v>67</v>
      </c>
    </row>
    <row r="33" spans="1:3" x14ac:dyDescent="0.25">
      <c r="A33" s="1" t="s">
        <v>68</v>
      </c>
    </row>
    <row r="34" spans="1:3" x14ac:dyDescent="0.25">
      <c r="A34" s="1" t="s">
        <v>69</v>
      </c>
    </row>
    <row r="35" spans="1:3" x14ac:dyDescent="0.25">
      <c r="A35" s="1" t="s">
        <v>70</v>
      </c>
    </row>
    <row r="36" spans="1:3" x14ac:dyDescent="0.25">
      <c r="A36" s="1" t="s">
        <v>71</v>
      </c>
    </row>
    <row r="37" spans="1:3" x14ac:dyDescent="0.25">
      <c r="A37" s="1" t="s">
        <v>72</v>
      </c>
    </row>
    <row r="38" spans="1:3" x14ac:dyDescent="0.25">
      <c r="A38" s="1" t="s">
        <v>73</v>
      </c>
    </row>
    <row r="39" spans="1:3" x14ac:dyDescent="0.25">
      <c r="A39" s="1" t="s">
        <v>74</v>
      </c>
    </row>
    <row r="40" spans="1:3" x14ac:dyDescent="0.25">
      <c r="A40" s="1" t="s">
        <v>75</v>
      </c>
    </row>
    <row r="41" spans="1:3" x14ac:dyDescent="0.25">
      <c r="A41" s="1" t="s">
        <v>76</v>
      </c>
    </row>
    <row r="42" spans="1:3" x14ac:dyDescent="0.25">
      <c r="A42" s="1" t="s">
        <v>77</v>
      </c>
    </row>
    <row r="43" spans="1:3" x14ac:dyDescent="0.25">
      <c r="A43" s="1" t="s">
        <v>78</v>
      </c>
    </row>
    <row r="44" spans="1:3" x14ac:dyDescent="0.25">
      <c r="A44" s="1" t="s">
        <v>79</v>
      </c>
      <c r="C44" t="s">
        <v>80</v>
      </c>
    </row>
    <row r="45" spans="1:3" x14ac:dyDescent="0.25">
      <c r="A45" s="1" t="s">
        <v>81</v>
      </c>
      <c r="C45" t="s">
        <v>82</v>
      </c>
    </row>
    <row r="46" spans="1:3" x14ac:dyDescent="0.25">
      <c r="A46" s="1" t="s">
        <v>83</v>
      </c>
      <c r="C46" t="s">
        <v>84</v>
      </c>
    </row>
    <row r="47" spans="1:3" x14ac:dyDescent="0.25">
      <c r="A47" s="1" t="s">
        <v>85</v>
      </c>
      <c r="C47" t="s">
        <v>86</v>
      </c>
    </row>
    <row r="48" spans="1:3" x14ac:dyDescent="0.25">
      <c r="A48" s="1" t="s">
        <v>87</v>
      </c>
      <c r="C48" t="s">
        <v>88</v>
      </c>
    </row>
    <row r="49" spans="1:3" x14ac:dyDescent="0.25">
      <c r="A49" s="1" t="s">
        <v>89</v>
      </c>
      <c r="C49" t="s">
        <v>90</v>
      </c>
    </row>
    <row r="50" spans="1:3" x14ac:dyDescent="0.25">
      <c r="A50" s="1" t="s">
        <v>91</v>
      </c>
      <c r="C50" t="s">
        <v>92</v>
      </c>
    </row>
    <row r="51" spans="1:3" x14ac:dyDescent="0.25">
      <c r="A51" s="1" t="s">
        <v>93</v>
      </c>
      <c r="C51" t="s">
        <v>94</v>
      </c>
    </row>
    <row r="52" spans="1:3" x14ac:dyDescent="0.25">
      <c r="A52" s="1" t="s">
        <v>95</v>
      </c>
      <c r="C52" t="s">
        <v>96</v>
      </c>
    </row>
    <row r="53" spans="1:3" x14ac:dyDescent="0.25">
      <c r="A53" s="1" t="s">
        <v>97</v>
      </c>
      <c r="C53" t="s">
        <v>98</v>
      </c>
    </row>
    <row r="54" spans="1:3" x14ac:dyDescent="0.25">
      <c r="A54" s="1" t="s">
        <v>99</v>
      </c>
      <c r="C54" t="s">
        <v>100</v>
      </c>
    </row>
    <row r="55" spans="1:3" x14ac:dyDescent="0.25">
      <c r="A55" s="1" t="s">
        <v>101</v>
      </c>
      <c r="C55" t="s">
        <v>102</v>
      </c>
    </row>
    <row r="56" spans="1:3" x14ac:dyDescent="0.25">
      <c r="A56" s="1" t="s">
        <v>103</v>
      </c>
      <c r="C56" t="s">
        <v>104</v>
      </c>
    </row>
    <row r="57" spans="1:3" x14ac:dyDescent="0.25">
      <c r="A57" s="1" t="s">
        <v>105</v>
      </c>
      <c r="C57" t="s">
        <v>106</v>
      </c>
    </row>
    <row r="58" spans="1:3" x14ac:dyDescent="0.25">
      <c r="A58" s="1" t="s">
        <v>107</v>
      </c>
      <c r="C58" t="s">
        <v>108</v>
      </c>
    </row>
    <row r="59" spans="1:3" x14ac:dyDescent="0.25">
      <c r="A59" s="1" t="s">
        <v>109</v>
      </c>
      <c r="C59" t="s">
        <v>110</v>
      </c>
    </row>
    <row r="60" spans="1:3" x14ac:dyDescent="0.25">
      <c r="A60" s="1" t="s">
        <v>111</v>
      </c>
      <c r="C60" t="s">
        <v>112</v>
      </c>
    </row>
    <row r="61" spans="1:3" x14ac:dyDescent="0.25">
      <c r="A61" s="1" t="s">
        <v>113</v>
      </c>
      <c r="C61" t="s">
        <v>114</v>
      </c>
    </row>
    <row r="62" spans="1:3" x14ac:dyDescent="0.25">
      <c r="A62" s="1" t="s">
        <v>115</v>
      </c>
      <c r="C62" t="s">
        <v>116</v>
      </c>
    </row>
    <row r="63" spans="1:3" x14ac:dyDescent="0.25">
      <c r="A63" s="1" t="s">
        <v>117</v>
      </c>
      <c r="C63" t="s">
        <v>118</v>
      </c>
    </row>
    <row r="64" spans="1:3" x14ac:dyDescent="0.25">
      <c r="A64" s="1" t="s">
        <v>119</v>
      </c>
      <c r="C64" t="s">
        <v>120</v>
      </c>
    </row>
    <row r="65" spans="1:3" x14ac:dyDescent="0.25">
      <c r="A65" s="1" t="s">
        <v>121</v>
      </c>
      <c r="C65" t="s">
        <v>122</v>
      </c>
    </row>
    <row r="66" spans="1:3" x14ac:dyDescent="0.25">
      <c r="A66" s="1" t="s">
        <v>123</v>
      </c>
      <c r="C66" t="s">
        <v>124</v>
      </c>
    </row>
    <row r="67" spans="1:3" x14ac:dyDescent="0.25">
      <c r="A67" s="1" t="s">
        <v>125</v>
      </c>
      <c r="C67" t="s">
        <v>126</v>
      </c>
    </row>
    <row r="68" spans="1:3" x14ac:dyDescent="0.25">
      <c r="A68" s="1" t="s">
        <v>127</v>
      </c>
      <c r="C68" t="s">
        <v>128</v>
      </c>
    </row>
    <row r="69" spans="1:3" x14ac:dyDescent="0.25">
      <c r="A69" s="1" t="s">
        <v>129</v>
      </c>
      <c r="C69" t="s">
        <v>130</v>
      </c>
    </row>
    <row r="70" spans="1:3" x14ac:dyDescent="0.25">
      <c r="A70" s="1" t="s">
        <v>131</v>
      </c>
      <c r="C70" t="s">
        <v>132</v>
      </c>
    </row>
    <row r="71" spans="1:3" x14ac:dyDescent="0.25">
      <c r="A71" s="1" t="s">
        <v>133</v>
      </c>
      <c r="C71" t="s">
        <v>134</v>
      </c>
    </row>
    <row r="72" spans="1:3" x14ac:dyDescent="0.25">
      <c r="A72" s="1" t="s">
        <v>135</v>
      </c>
      <c r="C72" t="s">
        <v>136</v>
      </c>
    </row>
    <row r="73" spans="1:3" x14ac:dyDescent="0.25">
      <c r="A73" s="1" t="s">
        <v>137</v>
      </c>
      <c r="C73" t="s">
        <v>138</v>
      </c>
    </row>
    <row r="74" spans="1:3" x14ac:dyDescent="0.25">
      <c r="A74" s="1" t="s">
        <v>139</v>
      </c>
      <c r="C74" t="s">
        <v>140</v>
      </c>
    </row>
    <row r="75" spans="1:3" x14ac:dyDescent="0.25">
      <c r="A75" s="1" t="s">
        <v>141</v>
      </c>
      <c r="C75" t="s">
        <v>142</v>
      </c>
    </row>
    <row r="76" spans="1:3" x14ac:dyDescent="0.25">
      <c r="A76" s="1" t="s">
        <v>35</v>
      </c>
      <c r="C76" t="s">
        <v>143</v>
      </c>
    </row>
    <row r="77" spans="1:3" x14ac:dyDescent="0.25">
      <c r="A77" s="1" t="s">
        <v>144</v>
      </c>
      <c r="C77" t="s">
        <v>145</v>
      </c>
    </row>
    <row r="78" spans="1:3" x14ac:dyDescent="0.25">
      <c r="A78" s="1" t="s">
        <v>146</v>
      </c>
      <c r="C78" t="s">
        <v>147</v>
      </c>
    </row>
    <row r="79" spans="1:3" x14ac:dyDescent="0.25">
      <c r="A79" s="1" t="s">
        <v>148</v>
      </c>
      <c r="C79" t="s">
        <v>149</v>
      </c>
    </row>
    <row r="80" spans="1:3" x14ac:dyDescent="0.25">
      <c r="C80" t="s">
        <v>150</v>
      </c>
    </row>
    <row r="81" spans="3:3" x14ac:dyDescent="0.25">
      <c r="C81" t="s">
        <v>151</v>
      </c>
    </row>
    <row r="82" spans="3:3" x14ac:dyDescent="0.25">
      <c r="C82" t="s">
        <v>152</v>
      </c>
    </row>
    <row r="83" spans="3:3" x14ac:dyDescent="0.25">
      <c r="C83" t="s">
        <v>153</v>
      </c>
    </row>
    <row r="84" spans="3:3" x14ac:dyDescent="0.25">
      <c r="C84" t="s">
        <v>154</v>
      </c>
    </row>
    <row r="85" spans="3:3" x14ac:dyDescent="0.25">
      <c r="C85" t="s">
        <v>155</v>
      </c>
    </row>
    <row r="86" spans="3:3" x14ac:dyDescent="0.25">
      <c r="C86" t="s">
        <v>156</v>
      </c>
    </row>
    <row r="87" spans="3:3" x14ac:dyDescent="0.25">
      <c r="C87" t="s">
        <v>157</v>
      </c>
    </row>
    <row r="88" spans="3:3" x14ac:dyDescent="0.25">
      <c r="C88" t="s">
        <v>158</v>
      </c>
    </row>
    <row r="89" spans="3:3" x14ac:dyDescent="0.25">
      <c r="C89" t="s">
        <v>159</v>
      </c>
    </row>
    <row r="90" spans="3:3" x14ac:dyDescent="0.25">
      <c r="C90" t="s">
        <v>160</v>
      </c>
    </row>
    <row r="91" spans="3:3" x14ac:dyDescent="0.25">
      <c r="C91" t="s">
        <v>161</v>
      </c>
    </row>
    <row r="92" spans="3:3" x14ac:dyDescent="0.25">
      <c r="C92" t="s">
        <v>162</v>
      </c>
    </row>
    <row r="93" spans="3:3" x14ac:dyDescent="0.25">
      <c r="C93" t="s">
        <v>163</v>
      </c>
    </row>
    <row r="94" spans="3:3" x14ac:dyDescent="0.25">
      <c r="C94" t="s">
        <v>164</v>
      </c>
    </row>
    <row r="95" spans="3:3" x14ac:dyDescent="0.25">
      <c r="C95" t="s">
        <v>165</v>
      </c>
    </row>
    <row r="96" spans="3:3" x14ac:dyDescent="0.25">
      <c r="C96" t="s">
        <v>166</v>
      </c>
    </row>
    <row r="97" spans="3:3" x14ac:dyDescent="0.25">
      <c r="C97" t="s">
        <v>167</v>
      </c>
    </row>
    <row r="98" spans="3:3" x14ac:dyDescent="0.25">
      <c r="C98" t="s">
        <v>168</v>
      </c>
    </row>
    <row r="99" spans="3:3" x14ac:dyDescent="0.25">
      <c r="C99" t="s">
        <v>169</v>
      </c>
    </row>
    <row r="100" spans="3:3" x14ac:dyDescent="0.25">
      <c r="C100" t="s">
        <v>170</v>
      </c>
    </row>
    <row r="101" spans="3:3" x14ac:dyDescent="0.25">
      <c r="C101" t="s">
        <v>171</v>
      </c>
    </row>
    <row r="102" spans="3:3" x14ac:dyDescent="0.25">
      <c r="C102" t="s">
        <v>172</v>
      </c>
    </row>
    <row r="103" spans="3:3" x14ac:dyDescent="0.25">
      <c r="C103" t="s">
        <v>173</v>
      </c>
    </row>
    <row r="104" spans="3:3" x14ac:dyDescent="0.25">
      <c r="C104" t="s">
        <v>174</v>
      </c>
    </row>
    <row r="105" spans="3:3" x14ac:dyDescent="0.25">
      <c r="C105" t="s">
        <v>175</v>
      </c>
    </row>
    <row r="106" spans="3:3" x14ac:dyDescent="0.25">
      <c r="C106" t="s">
        <v>176</v>
      </c>
    </row>
    <row r="107" spans="3:3" x14ac:dyDescent="0.25">
      <c r="C107" t="s">
        <v>177</v>
      </c>
    </row>
    <row r="108" spans="3:3" x14ac:dyDescent="0.25">
      <c r="C108" t="s">
        <v>178</v>
      </c>
    </row>
    <row r="109" spans="3:3" x14ac:dyDescent="0.25">
      <c r="C109" t="s">
        <v>179</v>
      </c>
    </row>
    <row r="110" spans="3:3" x14ac:dyDescent="0.25">
      <c r="C110" t="s">
        <v>180</v>
      </c>
    </row>
    <row r="111" spans="3:3" x14ac:dyDescent="0.25">
      <c r="C111" t="s">
        <v>181</v>
      </c>
    </row>
    <row r="112" spans="3:3" x14ac:dyDescent="0.25">
      <c r="C112" t="s">
        <v>182</v>
      </c>
    </row>
    <row r="113" spans="3:3" x14ac:dyDescent="0.25">
      <c r="C113" t="s">
        <v>183</v>
      </c>
    </row>
    <row r="114" spans="3:3" x14ac:dyDescent="0.25">
      <c r="C114" t="s">
        <v>184</v>
      </c>
    </row>
    <row r="115" spans="3:3" x14ac:dyDescent="0.25">
      <c r="C115" t="s">
        <v>185</v>
      </c>
    </row>
    <row r="116" spans="3:3" x14ac:dyDescent="0.25">
      <c r="C116" t="s">
        <v>186</v>
      </c>
    </row>
    <row r="117" spans="3:3" x14ac:dyDescent="0.25">
      <c r="C117" t="s">
        <v>187</v>
      </c>
    </row>
    <row r="118" spans="3:3" x14ac:dyDescent="0.25">
      <c r="C118" t="s">
        <v>188</v>
      </c>
    </row>
    <row r="119" spans="3:3" x14ac:dyDescent="0.25">
      <c r="C119" t="s">
        <v>189</v>
      </c>
    </row>
    <row r="120" spans="3:3" x14ac:dyDescent="0.25">
      <c r="C120" t="s">
        <v>190</v>
      </c>
    </row>
    <row r="121" spans="3:3" x14ac:dyDescent="0.25">
      <c r="C121" t="s">
        <v>191</v>
      </c>
    </row>
    <row r="122" spans="3:3" x14ac:dyDescent="0.25">
      <c r="C122" t="s">
        <v>192</v>
      </c>
    </row>
    <row r="123" spans="3:3" x14ac:dyDescent="0.25">
      <c r="C123" t="s">
        <v>193</v>
      </c>
    </row>
    <row r="124" spans="3:3" x14ac:dyDescent="0.25">
      <c r="C124" t="s">
        <v>194</v>
      </c>
    </row>
    <row r="125" spans="3:3" x14ac:dyDescent="0.25">
      <c r="C125" t="s">
        <v>195</v>
      </c>
    </row>
    <row r="126" spans="3:3" x14ac:dyDescent="0.25">
      <c r="C126" t="s">
        <v>196</v>
      </c>
    </row>
    <row r="127" spans="3:3" x14ac:dyDescent="0.25">
      <c r="C127" t="s">
        <v>197</v>
      </c>
    </row>
    <row r="128" spans="3:3" x14ac:dyDescent="0.25">
      <c r="C128" t="s">
        <v>198</v>
      </c>
    </row>
    <row r="129" spans="3:3" x14ac:dyDescent="0.25">
      <c r="C129" t="s">
        <v>199</v>
      </c>
    </row>
    <row r="130" spans="3:3" x14ac:dyDescent="0.25">
      <c r="C130" t="s">
        <v>200</v>
      </c>
    </row>
    <row r="131" spans="3:3" x14ac:dyDescent="0.25">
      <c r="C131" t="s">
        <v>201</v>
      </c>
    </row>
    <row r="132" spans="3:3" x14ac:dyDescent="0.25">
      <c r="C132" t="s">
        <v>202</v>
      </c>
    </row>
    <row r="133" spans="3:3" x14ac:dyDescent="0.25">
      <c r="C133" t="s">
        <v>203</v>
      </c>
    </row>
    <row r="134" spans="3:3" x14ac:dyDescent="0.25">
      <c r="C134" t="s">
        <v>204</v>
      </c>
    </row>
    <row r="135" spans="3:3" x14ac:dyDescent="0.25">
      <c r="C135" t="s">
        <v>205</v>
      </c>
    </row>
    <row r="136" spans="3:3" x14ac:dyDescent="0.25">
      <c r="C136" t="s">
        <v>206</v>
      </c>
    </row>
    <row r="137" spans="3:3" x14ac:dyDescent="0.25">
      <c r="C137" t="s">
        <v>207</v>
      </c>
    </row>
    <row r="138" spans="3:3" x14ac:dyDescent="0.25">
      <c r="C138" t="s">
        <v>208</v>
      </c>
    </row>
    <row r="139" spans="3:3" x14ac:dyDescent="0.25">
      <c r="C139" t="s">
        <v>209</v>
      </c>
    </row>
    <row r="140" spans="3:3" x14ac:dyDescent="0.25">
      <c r="C140" t="s">
        <v>210</v>
      </c>
    </row>
    <row r="141" spans="3:3" x14ac:dyDescent="0.25">
      <c r="C141" t="s">
        <v>211</v>
      </c>
    </row>
    <row r="142" spans="3:3" x14ac:dyDescent="0.25">
      <c r="C142" t="s">
        <v>212</v>
      </c>
    </row>
    <row r="143" spans="3:3" x14ac:dyDescent="0.25">
      <c r="C143" t="s">
        <v>213</v>
      </c>
    </row>
    <row r="144" spans="3:3" x14ac:dyDescent="0.25">
      <c r="C144" t="s">
        <v>214</v>
      </c>
    </row>
    <row r="145" spans="3:3" x14ac:dyDescent="0.25">
      <c r="C145" t="s">
        <v>215</v>
      </c>
    </row>
    <row r="146" spans="3:3" x14ac:dyDescent="0.25">
      <c r="C146" t="s">
        <v>216</v>
      </c>
    </row>
    <row r="147" spans="3:3" x14ac:dyDescent="0.25">
      <c r="C147" t="s">
        <v>217</v>
      </c>
    </row>
    <row r="148" spans="3:3" x14ac:dyDescent="0.25">
      <c r="C148" t="s">
        <v>218</v>
      </c>
    </row>
    <row r="149" spans="3:3" x14ac:dyDescent="0.25">
      <c r="C149" t="s">
        <v>219</v>
      </c>
    </row>
    <row r="150" spans="3:3" x14ac:dyDescent="0.25">
      <c r="C150" t="s">
        <v>220</v>
      </c>
    </row>
    <row r="151" spans="3:3" x14ac:dyDescent="0.25">
      <c r="C151" t="s">
        <v>221</v>
      </c>
    </row>
    <row r="152" spans="3:3" x14ac:dyDescent="0.25">
      <c r="C152" t="s">
        <v>222</v>
      </c>
    </row>
    <row r="153" spans="3:3" x14ac:dyDescent="0.25">
      <c r="C153" t="s">
        <v>223</v>
      </c>
    </row>
    <row r="154" spans="3:3" x14ac:dyDescent="0.25">
      <c r="C154" t="s">
        <v>224</v>
      </c>
    </row>
    <row r="155" spans="3:3" x14ac:dyDescent="0.25">
      <c r="C155" t="s">
        <v>225</v>
      </c>
    </row>
    <row r="156" spans="3:3" x14ac:dyDescent="0.25">
      <c r="C156" t="s">
        <v>226</v>
      </c>
    </row>
    <row r="157" spans="3:3" x14ac:dyDescent="0.25">
      <c r="C157" t="s">
        <v>227</v>
      </c>
    </row>
    <row r="158" spans="3:3" x14ac:dyDescent="0.25">
      <c r="C158" t="s">
        <v>228</v>
      </c>
    </row>
    <row r="159" spans="3:3" x14ac:dyDescent="0.25">
      <c r="C159" t="s">
        <v>229</v>
      </c>
    </row>
    <row r="160" spans="3:3" x14ac:dyDescent="0.25">
      <c r="C160" t="s">
        <v>230</v>
      </c>
    </row>
    <row r="161" spans="3:3" x14ac:dyDescent="0.25">
      <c r="C161" t="s">
        <v>231</v>
      </c>
    </row>
    <row r="162" spans="3:3" x14ac:dyDescent="0.25">
      <c r="C162" t="s">
        <v>232</v>
      </c>
    </row>
    <row r="163" spans="3:3" x14ac:dyDescent="0.25">
      <c r="C163" t="s">
        <v>233</v>
      </c>
    </row>
    <row r="164" spans="3:3" x14ac:dyDescent="0.25">
      <c r="C164" t="s">
        <v>234</v>
      </c>
    </row>
    <row r="165" spans="3:3" x14ac:dyDescent="0.25">
      <c r="C165" t="s">
        <v>235</v>
      </c>
    </row>
    <row r="166" spans="3:3" x14ac:dyDescent="0.25">
      <c r="C166" t="s">
        <v>236</v>
      </c>
    </row>
    <row r="167" spans="3:3" x14ac:dyDescent="0.25">
      <c r="C167" t="s">
        <v>237</v>
      </c>
    </row>
    <row r="168" spans="3:3" x14ac:dyDescent="0.25">
      <c r="C168" t="s">
        <v>238</v>
      </c>
    </row>
    <row r="169" spans="3:3" x14ac:dyDescent="0.25">
      <c r="C169" t="s">
        <v>239</v>
      </c>
    </row>
    <row r="170" spans="3:3" x14ac:dyDescent="0.25">
      <c r="C170" t="s">
        <v>240</v>
      </c>
    </row>
    <row r="171" spans="3:3" x14ac:dyDescent="0.25">
      <c r="C171" t="s">
        <v>241</v>
      </c>
    </row>
    <row r="172" spans="3:3" x14ac:dyDescent="0.25">
      <c r="C172" t="s">
        <v>242</v>
      </c>
    </row>
    <row r="173" spans="3:3" x14ac:dyDescent="0.25">
      <c r="C173" t="s">
        <v>243</v>
      </c>
    </row>
    <row r="174" spans="3:3" x14ac:dyDescent="0.25">
      <c r="C174" t="s">
        <v>244</v>
      </c>
    </row>
    <row r="175" spans="3:3" x14ac:dyDescent="0.25">
      <c r="C175" t="s">
        <v>245</v>
      </c>
    </row>
    <row r="176" spans="3:3" x14ac:dyDescent="0.25">
      <c r="C176" t="s">
        <v>246</v>
      </c>
    </row>
    <row r="177" spans="3:3" x14ac:dyDescent="0.25">
      <c r="C177" t="s">
        <v>247</v>
      </c>
    </row>
    <row r="178" spans="3:3" x14ac:dyDescent="0.25">
      <c r="C178" t="s">
        <v>248</v>
      </c>
    </row>
    <row r="179" spans="3:3" x14ac:dyDescent="0.25">
      <c r="C179" t="s">
        <v>249</v>
      </c>
    </row>
    <row r="180" spans="3:3" x14ac:dyDescent="0.25">
      <c r="C180" t="s">
        <v>250</v>
      </c>
    </row>
    <row r="181" spans="3:3" x14ac:dyDescent="0.25">
      <c r="C181" t="s">
        <v>251</v>
      </c>
    </row>
    <row r="182" spans="3:3" x14ac:dyDescent="0.25">
      <c r="C182" t="s">
        <v>252</v>
      </c>
    </row>
    <row r="183" spans="3:3" x14ac:dyDescent="0.25">
      <c r="C183" t="s">
        <v>253</v>
      </c>
    </row>
    <row r="184" spans="3:3" x14ac:dyDescent="0.25">
      <c r="C184" t="s">
        <v>254</v>
      </c>
    </row>
    <row r="185" spans="3:3" x14ac:dyDescent="0.25">
      <c r="C185" t="s">
        <v>255</v>
      </c>
    </row>
    <row r="186" spans="3:3" x14ac:dyDescent="0.25">
      <c r="C186" t="s">
        <v>256</v>
      </c>
    </row>
    <row r="187" spans="3:3" x14ac:dyDescent="0.25">
      <c r="C187" t="s">
        <v>257</v>
      </c>
    </row>
    <row r="188" spans="3:3" x14ac:dyDescent="0.25">
      <c r="C188" t="s">
        <v>258</v>
      </c>
    </row>
    <row r="189" spans="3:3" x14ac:dyDescent="0.25">
      <c r="C189" t="s">
        <v>259</v>
      </c>
    </row>
    <row r="190" spans="3:3" x14ac:dyDescent="0.25">
      <c r="C190" t="s">
        <v>260</v>
      </c>
    </row>
    <row r="191" spans="3:3" x14ac:dyDescent="0.25">
      <c r="C191" t="s">
        <v>261</v>
      </c>
    </row>
    <row r="192" spans="3:3" x14ac:dyDescent="0.25">
      <c r="C192" t="s">
        <v>262</v>
      </c>
    </row>
    <row r="193" spans="3:3" x14ac:dyDescent="0.25">
      <c r="C193" t="s">
        <v>263</v>
      </c>
    </row>
    <row r="194" spans="3:3" x14ac:dyDescent="0.25">
      <c r="C194" t="s">
        <v>264</v>
      </c>
    </row>
    <row r="195" spans="3:3" x14ac:dyDescent="0.25">
      <c r="C195" t="s">
        <v>265</v>
      </c>
    </row>
    <row r="196" spans="3:3" x14ac:dyDescent="0.25">
      <c r="C196" t="s">
        <v>266</v>
      </c>
    </row>
    <row r="197" spans="3:3" x14ac:dyDescent="0.25">
      <c r="C197" t="s">
        <v>267</v>
      </c>
    </row>
    <row r="198" spans="3:3" x14ac:dyDescent="0.25">
      <c r="C198" t="s">
        <v>268</v>
      </c>
    </row>
    <row r="199" spans="3:3" x14ac:dyDescent="0.25">
      <c r="C199" t="s">
        <v>269</v>
      </c>
    </row>
    <row r="200" spans="3:3" x14ac:dyDescent="0.25">
      <c r="C200" t="s">
        <v>270</v>
      </c>
    </row>
    <row r="201" spans="3:3" x14ac:dyDescent="0.25">
      <c r="C201" t="s">
        <v>271</v>
      </c>
    </row>
    <row r="202" spans="3:3" x14ac:dyDescent="0.25">
      <c r="C202" t="s">
        <v>272</v>
      </c>
    </row>
    <row r="203" spans="3:3" x14ac:dyDescent="0.25">
      <c r="C203" t="s">
        <v>273</v>
      </c>
    </row>
    <row r="204" spans="3:3" x14ac:dyDescent="0.25">
      <c r="C204" t="s">
        <v>274</v>
      </c>
    </row>
    <row r="205" spans="3:3" x14ac:dyDescent="0.25">
      <c r="C205" t="s">
        <v>275</v>
      </c>
    </row>
    <row r="206" spans="3:3" x14ac:dyDescent="0.25">
      <c r="C206" t="s">
        <v>276</v>
      </c>
    </row>
    <row r="207" spans="3:3" x14ac:dyDescent="0.25">
      <c r="C207" t="s">
        <v>277</v>
      </c>
    </row>
    <row r="208" spans="3:3" x14ac:dyDescent="0.25">
      <c r="C208" t="s">
        <v>278</v>
      </c>
    </row>
    <row r="209" spans="3:3" x14ac:dyDescent="0.25">
      <c r="C209" t="s">
        <v>279</v>
      </c>
    </row>
    <row r="210" spans="3:3" x14ac:dyDescent="0.25">
      <c r="C210" t="s">
        <v>280</v>
      </c>
    </row>
    <row r="211" spans="3:3" x14ac:dyDescent="0.25">
      <c r="C211" t="s">
        <v>281</v>
      </c>
    </row>
    <row r="212" spans="3:3" x14ac:dyDescent="0.25">
      <c r="C212" t="s">
        <v>282</v>
      </c>
    </row>
    <row r="213" spans="3:3" x14ac:dyDescent="0.25">
      <c r="C213" t="s">
        <v>283</v>
      </c>
    </row>
    <row r="214" spans="3:3" x14ac:dyDescent="0.25">
      <c r="C214" t="s">
        <v>284</v>
      </c>
    </row>
    <row r="215" spans="3:3" x14ac:dyDescent="0.25">
      <c r="C215" t="s">
        <v>285</v>
      </c>
    </row>
    <row r="216" spans="3:3" x14ac:dyDescent="0.25">
      <c r="C216" t="s">
        <v>286</v>
      </c>
    </row>
    <row r="217" spans="3:3" x14ac:dyDescent="0.25">
      <c r="C217" t="s">
        <v>287</v>
      </c>
    </row>
    <row r="218" spans="3:3" x14ac:dyDescent="0.25">
      <c r="C218" t="s">
        <v>288</v>
      </c>
    </row>
    <row r="219" spans="3:3" x14ac:dyDescent="0.25">
      <c r="C219" t="s">
        <v>289</v>
      </c>
    </row>
    <row r="220" spans="3:3" x14ac:dyDescent="0.25">
      <c r="C220" t="s">
        <v>290</v>
      </c>
    </row>
    <row r="221" spans="3:3" x14ac:dyDescent="0.25">
      <c r="C221" t="s">
        <v>291</v>
      </c>
    </row>
    <row r="222" spans="3:3" x14ac:dyDescent="0.25">
      <c r="C222" t="s">
        <v>292</v>
      </c>
    </row>
    <row r="223" spans="3:3" x14ac:dyDescent="0.25">
      <c r="C223" t="s">
        <v>293</v>
      </c>
    </row>
    <row r="224" spans="3:3" x14ac:dyDescent="0.25">
      <c r="C224" t="s">
        <v>294</v>
      </c>
    </row>
    <row r="225" spans="3:3" x14ac:dyDescent="0.25">
      <c r="C225" t="s">
        <v>295</v>
      </c>
    </row>
    <row r="226" spans="3:3" x14ac:dyDescent="0.25">
      <c r="C226" t="s">
        <v>296</v>
      </c>
    </row>
    <row r="227" spans="3:3" x14ac:dyDescent="0.25">
      <c r="C227" t="s">
        <v>297</v>
      </c>
    </row>
    <row r="228" spans="3:3" x14ac:dyDescent="0.25">
      <c r="C228" t="s">
        <v>298</v>
      </c>
    </row>
    <row r="229" spans="3:3" x14ac:dyDescent="0.25">
      <c r="C229" t="s">
        <v>299</v>
      </c>
    </row>
    <row r="230" spans="3:3" x14ac:dyDescent="0.25">
      <c r="C230" t="s">
        <v>300</v>
      </c>
    </row>
    <row r="231" spans="3:3" x14ac:dyDescent="0.25">
      <c r="C231" t="s">
        <v>301</v>
      </c>
    </row>
    <row r="232" spans="3:3" x14ac:dyDescent="0.25">
      <c r="C232" t="s">
        <v>302</v>
      </c>
    </row>
    <row r="233" spans="3:3" x14ac:dyDescent="0.25">
      <c r="C233" t="s">
        <v>303</v>
      </c>
    </row>
    <row r="234" spans="3:3" x14ac:dyDescent="0.25">
      <c r="C234" t="s">
        <v>304</v>
      </c>
    </row>
    <row r="235" spans="3:3" x14ac:dyDescent="0.25">
      <c r="C235" t="s">
        <v>305</v>
      </c>
    </row>
    <row r="236" spans="3:3" x14ac:dyDescent="0.25">
      <c r="C236" t="s">
        <v>306</v>
      </c>
    </row>
    <row r="237" spans="3:3" x14ac:dyDescent="0.25">
      <c r="C237" t="s">
        <v>307</v>
      </c>
    </row>
    <row r="238" spans="3:3" x14ac:dyDescent="0.25">
      <c r="C238" t="s">
        <v>308</v>
      </c>
    </row>
    <row r="239" spans="3:3" x14ac:dyDescent="0.25">
      <c r="C239" t="s">
        <v>309</v>
      </c>
    </row>
    <row r="240" spans="3:3" x14ac:dyDescent="0.25">
      <c r="C240" t="s">
        <v>310</v>
      </c>
    </row>
    <row r="241" spans="3:3" x14ac:dyDescent="0.25">
      <c r="C241" t="s">
        <v>311</v>
      </c>
    </row>
  </sheetData>
  <sortState xmlns:xlrd2="http://schemas.microsoft.com/office/spreadsheetml/2017/richdata2" ref="A1:A79">
    <sortCondition ref="A44:A7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2e8d19-1502-423c-a65b-bf8623bef2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C61729A4AD2C41B8033B56C05436F0" ma:contentTypeVersion="9" ma:contentTypeDescription="Create a new document." ma:contentTypeScope="" ma:versionID="219163ff5032f805ef048ab29c6c5a77">
  <xsd:schema xmlns:xsd="http://www.w3.org/2001/XMLSchema" xmlns:xs="http://www.w3.org/2001/XMLSchema" xmlns:p="http://schemas.microsoft.com/office/2006/metadata/properties" xmlns:ns2="4a2e8d19-1502-423c-a65b-bf8623bef24f" targetNamespace="http://schemas.microsoft.com/office/2006/metadata/properties" ma:root="true" ma:fieldsID="3f85a76ac2faded543fced0f6ed89990" ns2:_="">
    <xsd:import namespace="4a2e8d19-1502-423c-a65b-bf8623bef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e8d19-1502-423c-a65b-bf8623bef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4a82061-89b6-4421-a6a5-ca4f25e4c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3E6B91-D38A-4B12-8F86-33C347685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E6F6E7-E821-4E13-8AC0-2FB59C0C2209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6e5e48b7-4926-4bb5-ac89-5721d9ea4185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62FE97C-B37C-4C6B-A6FE-93E256A73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Material Delivery and Inventory</vt:lpstr>
      <vt:lpstr>Master List</vt:lpstr>
      <vt:lpstr>AML</vt:lpstr>
      <vt:lpstr>Sheet1</vt:lpstr>
      <vt:lpstr>Manufacturer</vt:lpstr>
      <vt:lpstr>MT</vt:lpstr>
      <vt:lpstr>Product</vt:lpstr>
    </vt:vector>
  </TitlesOfParts>
  <Manager/>
  <Company>Grizli777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mdyer</dc:creator>
  <cp:keywords/>
  <dc:description/>
  <cp:lastModifiedBy>Josh Abalos</cp:lastModifiedBy>
  <cp:revision/>
  <dcterms:created xsi:type="dcterms:W3CDTF">2014-02-04T19:25:39Z</dcterms:created>
  <dcterms:modified xsi:type="dcterms:W3CDTF">2025-11-05T18:53:00Z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0x01010058C61729A4AD2C41B8033B56C05436F0</vt:lpwstr>
  </property>
</Properties>
</file>